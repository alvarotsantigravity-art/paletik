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lvarots\Downloads\"/>
    </mc:Choice>
  </mc:AlternateContent>
  <xr:revisionPtr revIDLastSave="0" documentId="13_ncr:1_{C591517F-B36A-4EF4-A25C-39A0F2B75EB3}" xr6:coauthVersionLast="47" xr6:coauthVersionMax="47" xr10:uidLastSave="{00000000-0000-0000-0000-000000000000}"/>
  <bookViews>
    <workbookView xWindow="-108" yWindow="-108" windowWidth="30936" windowHeight="17496" firstSheet="2" activeTab="2" xr2:uid="{00000000-000D-0000-FFFF-FFFF00000000}"/>
  </bookViews>
  <sheets>
    <sheet name="T" sheetId="9" state="hidden" r:id="rId1"/>
    <sheet name="tiendas" sheetId="8" state="hidden" r:id="rId2"/>
    <sheet name="GSM-15467 OK" sheetId="10" r:id="rId3"/>
    <sheet name="estándar " sheetId="2" state="hidden" r:id="rId4"/>
    <sheet name="Ahorramás" sheetId="3" state="hidden" r:id="rId5"/>
    <sheet name="Galicia" sheetId="4" state="hidden" r:id="rId6"/>
    <sheet name="Catalán" sheetId="5" state="hidden" r:id="rId7"/>
    <sheet name="Euskera" sheetId="6" state="hidden" r:id="rId8"/>
  </sheets>
  <definedNames>
    <definedName name="_xlnm._FilterDatabase" localSheetId="3" hidden="1">'estándar '!$B$4:$H$4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6" i="4"/>
  <c r="G7" i="4"/>
  <c r="G8" i="4"/>
  <c r="G9" i="4"/>
  <c r="G10" i="4"/>
  <c r="G11" i="4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6" i="6"/>
  <c r="G7" i="6"/>
  <c r="G8" i="6"/>
  <c r="G9" i="6"/>
  <c r="G5" i="6"/>
  <c r="G5" i="5"/>
  <c r="G5" i="4"/>
  <c r="G5" i="3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5" i="2"/>
  <c r="H5" i="2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</calcChain>
</file>

<file path=xl/sharedStrings.xml><?xml version="1.0" encoding="utf-8"?>
<sst xmlns="http://schemas.openxmlformats.org/spreadsheetml/2006/main" count="1202" uniqueCount="308">
  <si>
    <t xml:space="preserve">tarifas </t>
  </si>
  <si>
    <t>tiradas(-10%)</t>
  </si>
  <si>
    <t>ATICA</t>
  </si>
  <si>
    <t>TIENDA</t>
  </si>
  <si>
    <t xml:space="preserve">TIPOLOGIA TIENDAS </t>
  </si>
  <si>
    <t>VERSIONES TIENDA</t>
  </si>
  <si>
    <t>Franquicia Acacias 4</t>
  </si>
  <si>
    <t>Resto</t>
  </si>
  <si>
    <t>Ahorramás</t>
  </si>
  <si>
    <t>Avda. Niza, 50</t>
  </si>
  <si>
    <t>00DH</t>
  </si>
  <si>
    <t>Brescia</t>
  </si>
  <si>
    <t>Madrid Galileo 87</t>
  </si>
  <si>
    <t>Julián Romea</t>
  </si>
  <si>
    <t>Franquicia Leganés II</t>
  </si>
  <si>
    <t>Las Rozas Martín Iriarte</t>
  </si>
  <si>
    <t>009E</t>
  </si>
  <si>
    <t>Quevedo</t>
  </si>
  <si>
    <t>Pasaje</t>
  </si>
  <si>
    <t>Moscatelar</t>
  </si>
  <si>
    <t>El Encinar</t>
  </si>
  <si>
    <t>Bolivar</t>
  </si>
  <si>
    <t>Madrid Golfo Salónica 2</t>
  </si>
  <si>
    <t>009F</t>
  </si>
  <si>
    <t>Parque Lisboa (Alcorcón)</t>
  </si>
  <si>
    <t>009U</t>
  </si>
  <si>
    <t>Conde de Peñalver</t>
  </si>
  <si>
    <t>Madrid-Orense</t>
  </si>
  <si>
    <t>00KP</t>
  </si>
  <si>
    <t>Príncipe de Vergara, 120</t>
  </si>
  <si>
    <t>00JA</t>
  </si>
  <si>
    <t>Príncipe de Vergara, 253</t>
  </si>
  <si>
    <t>Boadilla del Monte</t>
  </si>
  <si>
    <t>Franquicia C/Alcalá, 281 (Madrid)</t>
  </si>
  <si>
    <t>C/Alcalá, 396 (Madrid)</t>
  </si>
  <si>
    <t>C/Cañada Nueva, 2 (San Lorenzo de El Escorial)</t>
  </si>
  <si>
    <t>Franquicia Canillas, 142</t>
  </si>
  <si>
    <t>003S</t>
  </si>
  <si>
    <t>Coslada</t>
  </si>
  <si>
    <t>Franquicia Laguna II</t>
  </si>
  <si>
    <t>00TT</t>
  </si>
  <si>
    <t>Las Rozas</t>
  </si>
  <si>
    <t>009D</t>
  </si>
  <si>
    <t>Lavapiés</t>
  </si>
  <si>
    <t>009G</t>
  </si>
  <si>
    <t>Moratalaz</t>
  </si>
  <si>
    <t>Miraflores del Río</t>
  </si>
  <si>
    <t>Estacional</t>
  </si>
  <si>
    <t>Nuevo Baztan</t>
  </si>
  <si>
    <t>Ortega y Gasset, 63</t>
  </si>
  <si>
    <t xml:space="preserve"> Franquicia San Martin de Valdeiglesias</t>
  </si>
  <si>
    <t>Tudescos</t>
  </si>
  <si>
    <t>00HE</t>
  </si>
  <si>
    <t>Algete</t>
  </si>
  <si>
    <t>009T</t>
  </si>
  <si>
    <t>Aluche</t>
  </si>
  <si>
    <t>00AY</t>
  </si>
  <si>
    <t>Arroyomolinos</t>
  </si>
  <si>
    <t>00R5</t>
  </si>
  <si>
    <t>El Escorial</t>
  </si>
  <si>
    <t>Leganés Fuente Honda</t>
  </si>
  <si>
    <t>00KF</t>
  </si>
  <si>
    <t>Mercado Alto Extremadura</t>
  </si>
  <si>
    <t>009M</t>
  </si>
  <si>
    <t>Móstoles</t>
  </si>
  <si>
    <t>00FR</t>
  </si>
  <si>
    <t>Parla</t>
  </si>
  <si>
    <t>00HB</t>
  </si>
  <si>
    <t>Sinesio Delgado</t>
  </si>
  <si>
    <t>Tirso de Molina</t>
  </si>
  <si>
    <t>Valdebebas</t>
  </si>
  <si>
    <t>00DL</t>
  </si>
  <si>
    <t>Valdemoro</t>
  </si>
  <si>
    <t>009V</t>
  </si>
  <si>
    <t>Vallecas</t>
  </si>
  <si>
    <t>009H</t>
  </si>
  <si>
    <t>Cuatro Caminos</t>
  </si>
  <si>
    <t>BOADILLA LA CÁRCAVA</t>
  </si>
  <si>
    <t>C/Toledo 143</t>
  </si>
  <si>
    <t xml:space="preserve">Villaviciosa de Odón </t>
  </si>
  <si>
    <t>Canal Isabel II</t>
  </si>
  <si>
    <t>00WC</t>
  </si>
  <si>
    <t>EL CASAR</t>
  </si>
  <si>
    <t xml:space="preserve">Estándar </t>
  </si>
  <si>
    <t>Albacete- Iris</t>
  </si>
  <si>
    <t>008J</t>
  </si>
  <si>
    <t xml:space="preserve">Ciudad Real </t>
  </si>
  <si>
    <t>008I</t>
  </si>
  <si>
    <t>PUERTOLLANO</t>
  </si>
  <si>
    <t>Sevilla -Nervión</t>
  </si>
  <si>
    <t>008A</t>
  </si>
  <si>
    <t>Huelva</t>
  </si>
  <si>
    <t>Salobreña</t>
  </si>
  <si>
    <t xml:space="preserve">FRANQUICIA GRANADA  II            </t>
  </si>
  <si>
    <t>00DI</t>
  </si>
  <si>
    <t xml:space="preserve">Franquicia MARTOS                 </t>
  </si>
  <si>
    <t>007Z</t>
  </si>
  <si>
    <t>MOTRIL</t>
  </si>
  <si>
    <t>00X5</t>
  </si>
  <si>
    <t>HUELVA III (LOS LITRIS)</t>
  </si>
  <si>
    <t>MK SEVILLA VIAPOL</t>
  </si>
  <si>
    <t xml:space="preserve">MK Paseo Imperial </t>
  </si>
  <si>
    <t>00QV</t>
  </si>
  <si>
    <t>Arechavaleta</t>
  </si>
  <si>
    <t>Euskera</t>
  </si>
  <si>
    <t>008Z</t>
  </si>
  <si>
    <t>BILBAO 2</t>
  </si>
  <si>
    <t>009C</t>
  </si>
  <si>
    <t>BILBAO</t>
  </si>
  <si>
    <t>008Y</t>
  </si>
  <si>
    <t>VITORIA</t>
  </si>
  <si>
    <t>TOLOSA</t>
  </si>
  <si>
    <t>00AR</t>
  </si>
  <si>
    <t>Sanxenxo (Pontevedra)</t>
  </si>
  <si>
    <t>Galicia</t>
  </si>
  <si>
    <t>00W1</t>
  </si>
  <si>
    <t>Sada</t>
  </si>
  <si>
    <t>00Y5</t>
  </si>
  <si>
    <t>Cee (Plaza Comercio)</t>
  </si>
  <si>
    <t>00QN</t>
  </si>
  <si>
    <t>Moaña</t>
  </si>
  <si>
    <t xml:space="preserve"> Franquicia BAIONA II            </t>
  </si>
  <si>
    <t>007W</t>
  </si>
  <si>
    <t>SANTIAGO</t>
  </si>
  <si>
    <t>00AQ</t>
  </si>
  <si>
    <t>AMES BERTAMIRANS</t>
  </si>
  <si>
    <t>009A</t>
  </si>
  <si>
    <t>Logrono</t>
  </si>
  <si>
    <t>Estándar</t>
  </si>
  <si>
    <t xml:space="preserve">MARKET PAMPLONA-BAYONA        </t>
  </si>
  <si>
    <t xml:space="preserve">MARKET PAMPLONA-LEYRE         </t>
  </si>
  <si>
    <t>001W</t>
  </si>
  <si>
    <t>SALAMANCA 2</t>
  </si>
  <si>
    <t>008T</t>
  </si>
  <si>
    <t>SALAMANCA</t>
  </si>
  <si>
    <t>008S</t>
  </si>
  <si>
    <t>PALENCIA</t>
  </si>
  <si>
    <t>008V</t>
  </si>
  <si>
    <t>VALLADOLID</t>
  </si>
  <si>
    <t>009K</t>
  </si>
  <si>
    <t>SANTANDER</t>
  </si>
  <si>
    <t>008H</t>
  </si>
  <si>
    <t>Almeria</t>
  </si>
  <si>
    <t>Benalmadena Salvador Vicente</t>
  </si>
  <si>
    <t>007U</t>
  </si>
  <si>
    <t>Cadiz</t>
  </si>
  <si>
    <t>Nerja Ferrandis</t>
  </si>
  <si>
    <t>001U</t>
  </si>
  <si>
    <t>Rota</t>
  </si>
  <si>
    <t>Marbella General Lopez Dominguez 19</t>
  </si>
  <si>
    <t>Puerto Santa Maria Avda. De La Libertad</t>
  </si>
  <si>
    <t>008G</t>
  </si>
  <si>
    <t>Jerez</t>
  </si>
  <si>
    <t>00WS</t>
  </si>
  <si>
    <t>Cibeles</t>
  </si>
  <si>
    <t>Torremolinos Paseo Del Colorado</t>
  </si>
  <si>
    <t>Malaga Juan Sebastian El Cano 30</t>
  </si>
  <si>
    <t>Cadiz Garcia Gamero 28</t>
  </si>
  <si>
    <t>S.Pedro Alcantara Plaza Istan</t>
  </si>
  <si>
    <t>Marbella Cc Guadalmina</t>
  </si>
  <si>
    <t>Nerja El Capistrano</t>
  </si>
  <si>
    <t>Marbella  Valentuñana</t>
  </si>
  <si>
    <t>S.Pedro Alcantara Cortijo Blanco</t>
  </si>
  <si>
    <t xml:space="preserve">Cartama </t>
  </si>
  <si>
    <t>Chiclana Cc Tartessus</t>
  </si>
  <si>
    <t>Conil</t>
  </si>
  <si>
    <t>Puerto St Maria El Aguila</t>
  </si>
  <si>
    <t>Marbella El Rosario</t>
  </si>
  <si>
    <t>00RH</t>
  </si>
  <si>
    <t>Moraira</t>
  </si>
  <si>
    <t>Cc Elviria</t>
  </si>
  <si>
    <t>Marbella Nagueles</t>
  </si>
  <si>
    <t>Mijas Costa Cc Los Olivos</t>
  </si>
  <si>
    <t>Antonio Machado</t>
  </si>
  <si>
    <t>Estepona Almenara</t>
  </si>
  <si>
    <t>Mijas Nuevo Boulevard</t>
  </si>
  <si>
    <t>Vejer</t>
  </si>
  <si>
    <t>Estepona</t>
  </si>
  <si>
    <t>Rincon De La Victoria La Cala Del Moral</t>
  </si>
  <si>
    <t>00AN</t>
  </si>
  <si>
    <t>Arroyo De La Miel</t>
  </si>
  <si>
    <t>Arroyo De La Miel Obisto Herrera Oria</t>
  </si>
  <si>
    <t>Campello</t>
  </si>
  <si>
    <t>PATERNA</t>
  </si>
  <si>
    <t xml:space="preserve"> CÁDIZ DIEGO ARIAS</t>
  </si>
  <si>
    <t xml:space="preserve">MALAGA GORDON 13           </t>
  </si>
  <si>
    <t xml:space="preserve">Franquicia SAN FERNANDO         </t>
  </si>
  <si>
    <t>008B</t>
  </si>
  <si>
    <t>CASTELLON</t>
  </si>
  <si>
    <t>00BW</t>
  </si>
  <si>
    <t>San Vicente De Raspeig</t>
  </si>
  <si>
    <t>Fuentes de Oñoro</t>
  </si>
  <si>
    <t>GUADALCANTARA</t>
  </si>
  <si>
    <t>003Y</t>
  </si>
  <si>
    <t>Sitges</t>
  </si>
  <si>
    <t>Catalán</t>
  </si>
  <si>
    <t>00Y4</t>
  </si>
  <si>
    <t>Santa Coloma De Gramanet 2</t>
  </si>
  <si>
    <t>00B0</t>
  </si>
  <si>
    <t>Vallfogona</t>
  </si>
  <si>
    <t>00C2</t>
  </si>
  <si>
    <t>Viladecans</t>
  </si>
  <si>
    <t>00Q2</t>
  </si>
  <si>
    <t>Valls</t>
  </si>
  <si>
    <t>00ML</t>
  </si>
  <si>
    <t>Barcelona Sants</t>
  </si>
  <si>
    <t>00FP</t>
  </si>
  <si>
    <t>El Vendrell</t>
  </si>
  <si>
    <t>E0</t>
  </si>
  <si>
    <t>Castelldefels</t>
  </si>
  <si>
    <t>00A8</t>
  </si>
  <si>
    <t>Cubelles</t>
  </si>
  <si>
    <t>00WF</t>
  </si>
  <si>
    <t>Torredembarra</t>
  </si>
  <si>
    <t>008M</t>
  </si>
  <si>
    <t>Ramblas</t>
  </si>
  <si>
    <t>00F3</t>
  </si>
  <si>
    <t>Platja De Aro 1</t>
  </si>
  <si>
    <t>00B6</t>
  </si>
  <si>
    <t>Terrasa 2</t>
  </si>
  <si>
    <t>00A9</t>
  </si>
  <si>
    <t>Pineda 1</t>
  </si>
  <si>
    <t>00B7</t>
  </si>
  <si>
    <t>Pineda2</t>
  </si>
  <si>
    <t>00Q3</t>
  </si>
  <si>
    <t>La Escala 1</t>
  </si>
  <si>
    <t>00G5</t>
  </si>
  <si>
    <t>Torre Valentina</t>
  </si>
  <si>
    <t>00D2</t>
  </si>
  <si>
    <t>Roses 1</t>
  </si>
  <si>
    <t>00F8</t>
  </si>
  <si>
    <t>Torroella</t>
  </si>
  <si>
    <t>00F2</t>
  </si>
  <si>
    <t>Palafrugell</t>
  </si>
  <si>
    <t>00A6</t>
  </si>
  <si>
    <t>Puigcerda</t>
  </si>
  <si>
    <t>00A0</t>
  </si>
  <si>
    <t>Berga</t>
  </si>
  <si>
    <t>Manresa</t>
  </si>
  <si>
    <t>Roger de Flor</t>
  </si>
  <si>
    <t>008N</t>
  </si>
  <si>
    <t>Tarragona</t>
  </si>
  <si>
    <t>Vía Laietana</t>
  </si>
  <si>
    <t>Barcelona-Dante</t>
  </si>
  <si>
    <t>00B8</t>
  </si>
  <si>
    <t>Cardedeu</t>
  </si>
  <si>
    <t>00C0</t>
  </si>
  <si>
    <t>Igualada</t>
  </si>
  <si>
    <t>00TI</t>
  </si>
  <si>
    <t>Mercado Guinardo</t>
  </si>
  <si>
    <t>00QW</t>
  </si>
  <si>
    <t>Mercado Provençals</t>
  </si>
  <si>
    <t>00B4</t>
  </si>
  <si>
    <t>Santa Coloma de Gramanet 1</t>
  </si>
  <si>
    <t>008L</t>
  </si>
  <si>
    <t>Sarriá</t>
  </si>
  <si>
    <t>Chipiona Avda. Sevilla</t>
  </si>
  <si>
    <t>001H</t>
  </si>
  <si>
    <t>Cádiz 2</t>
  </si>
  <si>
    <t xml:space="preserve">solo enviamos ejemplares a la tienda/ no lleva buzoneo </t>
  </si>
  <si>
    <t>Alberto Aguilera II</t>
  </si>
  <si>
    <t>Resto (Franquicia desde el 24/04/26)</t>
  </si>
  <si>
    <t xml:space="preserve">bajada de tirada de junio a septiembre  de cara a verano ( en invierno 22950) </t>
  </si>
  <si>
    <t>bajada desde Junio a Septiembre. En invierno volvemos a 11970</t>
  </si>
  <si>
    <t>CERRADA</t>
  </si>
  <si>
    <t>TIRADA</t>
  </si>
  <si>
    <t>TIRADAS</t>
  </si>
  <si>
    <t>BUZONEO</t>
  </si>
  <si>
    <t>Etiquetas de fila</t>
  </si>
  <si>
    <t>Total general</t>
  </si>
  <si>
    <t xml:space="preserve">VERSIONES  </t>
  </si>
  <si>
    <t xml:space="preserve">TIRADA </t>
  </si>
  <si>
    <t>Marbella Nagüelles</t>
  </si>
  <si>
    <t>Pineda 2</t>
  </si>
  <si>
    <t>REPAPUBLI, S.L. C/ Juan de la Cierva, 84  - Mostoles - 28936 - Madrid - MANUEL MARTINEZ - 626752418 -  - 8ha17h</t>
  </si>
  <si>
    <t xml:space="preserve">Transportes Germans - C/ Joan Brossa, 8 Reus Tarragona (ES) 43202  - 7:30h - 13:00h / 15:00h - 19:00h  - 670 395 148  - Josepa -  -  - </t>
  </si>
  <si>
    <t xml:space="preserve">Traycco Publicitat - Alcalá Galiano, 37 Cornella de Llobregat Barcelona (ES) 08940  - 09:00h – 14:00h - 610 42 53 04 / 663742401 - David  -  -  - </t>
  </si>
  <si>
    <t xml:space="preserve">Veva Bustia - Ctra. de la Canya, 115 Olot Girona (Gerona) (ES) 17800  - 09:00h – 13:00h  - 659535152  -  -  -  - </t>
  </si>
  <si>
    <t xml:space="preserve">Aliproser Alicante - C/Asteroide, 8 nave 14 Alicante (Alicante) (ES) 03007  - 07:30h – 14:00h / 16:00h – 18:00h - 660588598 - Santi -  -  - </t>
  </si>
  <si>
    <t xml:space="preserve">Aliproser Valencia  - Parque Empresarial Táctica, Carrer del Manyá, 14, B Paterna València (Valencia) (ES) 46980  - 09:00h – 16:00h - 616618298  - Carlos -  -  - </t>
  </si>
  <si>
    <t>BUZONEOS JIMENEZ Crta. Argamasilla Numero 57 Nave 11  - Tomelloso - 13700 - Ciudad Real - Pedro - 635259654 -  - 8ha14h</t>
  </si>
  <si>
    <t xml:space="preserve">Buzoneos Reina - Crta de Arcos km, 1,5 nave 1 (Junto Rte Don Pepe) Jerez de la Frontera Cádiz (ES) 11405  - 09:00h – 14:30h  - 666387132  - Ismael -  -  - </t>
  </si>
  <si>
    <t>C/La Corraliega, 10 - Herrerade Camargo - 39608 - Santander - Carlos - 649 930 106 - 609 464 738 - 07:30 a 13:00 y 16-.30 a 18:00</t>
  </si>
  <si>
    <t>CIUDAD REAL EXPRESS Crta de Porzuna km2,30 Nave 2 - Ciudad Real - 13005 - Ciudad Real - MANUEL MARTINEZ - 626752418 -  - 8ha14h</t>
  </si>
  <si>
    <t>El repartidor de Publicidad - C/ Tritón, 6B 29006 Málaga - Horario: 7-12h - Sandra -  623 75 85 98</t>
  </si>
  <si>
    <t>HISPAPUBLI   POLG. IND. PAVIPRESA N15   - Huelva - 21007 - Huelva - MANUEL MARTINEZ - 626752418 -  - 8ha17h</t>
  </si>
  <si>
    <t xml:space="preserve">Infiniti Tech Almería - Sierra de Telar, 10 Viator Almería (ES) 04240  - 07:30h – 11:00h - 641371687  - Fernando -  -  - </t>
  </si>
  <si>
    <t>Pol Ind Los Talleres de Zaratán, C/carpintería; Nº1-Nave-2 (Arco Postal-Din A-Public) - Valladolid - 47008 - Valladolid - Ana/Facundo - 647 402 688 - 607 77 79 04 - 09:00 a 13:00h</t>
  </si>
  <si>
    <t>Pol Ind. La Portada,2-Santa María,2 - Logroño - 26006 - Logroño - Raúl - 686 643 403 - 941 24 412 - 07:00 a 14.00</t>
  </si>
  <si>
    <t>Pol Ind. Mutilva Bja-C/P-Nº30 - Mutilva - 31192 - Navarra - Javier - 652 938 428 -  - 08:00 a 14:00h</t>
  </si>
  <si>
    <t>Pol.Montalvo, 2-C/Hoyamoros 43-49; Nave 12 (Arco Postal-Del Pozo) - Salamanca - 37008 - Salamanca - Jose - 618 705 125 - 923 121 587 - 09:00 a 13:00h</t>
  </si>
  <si>
    <t>PUBLIPONCE GRANADA POLG. IND. ASEGRA, Avd. Malaga, 20       - Peligros - 18210 - Granada - MANUEL MARTINEZ - 626752418 -  - 8a13 y 15:30 a 17</t>
  </si>
  <si>
    <t>PUBLIPONCE SEVILLA C/ Papiro,30 polg.ind. La Negrilla.  - Sevilla - 41016 - Sevilla - MANUEL MARTINEZ - 626752418 -  - 8ha17h</t>
  </si>
  <si>
    <t>QUATTRO PUBLICIDAD C/Norte, 5 Bajo - Puertollano - 13500 - Ciudad Real - MANUEL MARTINEZ - 626752418 -  - 8ha14h</t>
  </si>
  <si>
    <t>RECODIS JAEN C/ ESCAÑUELA,36 POLG. IND. LOS OLIVARES  23009 JAEN - Jaen - 23003 - Jaen - MANUEL MARTINEZ - 626752418 -  - 8ha14h</t>
  </si>
  <si>
    <t xml:space="preserve">Sojadan Castellón - Camino Alcora, 71 Almazora/Almassora Castelló (Castellón) (ES) 12550  - Llamar antes de ir para concretar entrega - 637-272988  - Pedro -  -  - </t>
  </si>
  <si>
    <t>TIENDA - MK FUENTES DE OÑORO - Avda . Europa, 45-37480-FUENTES DE OÑORO (Salamanca)</t>
  </si>
  <si>
    <t xml:space="preserve">Winsear Avizor - C/Gluck, 0 S N, Nave 2 Malaga Málaga (ES) 29590 - 08:00h – 1600h - 695-218362 - M José -  -  - </t>
  </si>
  <si>
    <t>Araba,2-Pol. Lezama Leguiamos (Frente a Seur) Euskalkorreo - Etxebarri - 48450 - Bilbao - Loli - 615 748 927 - 944 128 843 - 09:30 a 14:30h</t>
  </si>
  <si>
    <t>C/Anboto, nº 18-Bajo; Pol Ind Ansoleta (Publimailing) - Vitoria - 1006 - Vitoria - Jorge - 629 220 565  -  - 08:00 a 14:00h</t>
  </si>
  <si>
    <t>C/Mateo Errota, 2; Loc 4-Pol. 27 (Arco Postal-PYB) - Donostia - 20014 - Donostia - Jon - 649 29 96 90 -  - 07:30 a 14:00</t>
  </si>
  <si>
    <t xml:space="preserve">* nuevo ALMACEN marzo 2026* NEW POST - Pol Ind Espíritu Santo - Rua Bell , 46 - parcela 18 - nave B - 15650 CAMBRE - A CORUÑA - 667 513 959 </t>
  </si>
  <si>
    <t>ARCO POSTAL PUBLIVAL NAVE GLS VIA PASTEUR 18-20, 15890 POLIGONO INDUSTRIAL DEL TAMBRE (SANTIAGO) - Miguel - 657 575 782 -  - 07:00 a 15.00h</t>
  </si>
  <si>
    <t>Baixada a Salgueira, 25 (Arco Postal-New Post) - Vigo - 36204 - Pontevedra - Gonzalo - 650 209 813 -  - 08:00 a 14:00h</t>
  </si>
  <si>
    <t>Vía Pasteur, 18-20, Pol.del Tambre-Nave GLS (Arco Postal-Publival) - Santiago - 15890 - A Coruña - Miguel - 657 575 782 -  - 07:00 a 15.00h</t>
  </si>
  <si>
    <t xml:space="preserve">Suma de TIRADA </t>
  </si>
  <si>
    <t>DIRECCION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</si>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</sst>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theme="1"/>
      <name val="Liberation Sans"/>
      <family val="2"/>
    </font>
    <font>
      <b/>
      <i/>
      <u/>
      <sz val="10"/>
      <color theme="1"/>
      <name val="Liberation Sans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5">
    <xf numFmtId="0" fontId="0" fillId="0" borderId="0"/>
    <xf numFmtId="0" fontId="2" fillId="0" borderId="0"/>
    <xf numFmtId="0" fontId="3" fillId="0" borderId="0"/>
    <xf numFmtId="0" fontId="13" fillId="9" borderId="0"/>
    <xf numFmtId="0" fontId="4" fillId="0" borderId="0"/>
    <xf numFmtId="0" fontId="5" fillId="3" borderId="0"/>
    <xf numFmtId="0" fontId="5" fillId="4" borderId="0"/>
    <xf numFmtId="0" fontId="4" fillId="5" borderId="0"/>
    <xf numFmtId="0" fontId="6" fillId="6" borderId="0"/>
    <xf numFmtId="0" fontId="3" fillId="0" borderId="0" applyNumberFormat="0" applyFont="0" applyFill="0" applyBorder="0" applyAlignment="0" applyProtection="0"/>
    <xf numFmtId="0" fontId="5" fillId="7" borderId="0"/>
    <xf numFmtId="0" fontId="7" fillId="0" borderId="0"/>
    <xf numFmtId="0" fontId="8" fillId="8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4" fillId="0" borderId="0"/>
    <xf numFmtId="0" fontId="15" fillId="0" borderId="0"/>
    <xf numFmtId="0" fontId="16" fillId="0" borderId="0"/>
    <xf numFmtId="0" fontId="3" fillId="0" borderId="0"/>
    <xf numFmtId="0" fontId="3" fillId="0" borderId="0"/>
    <xf numFmtId="0" fontId="6" fillId="0" borderId="0"/>
    <xf numFmtId="0" fontId="2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1" fontId="0" fillId="0" borderId="1" xfId="0" applyNumberFormat="1" applyBorder="1"/>
    <xf numFmtId="0" fontId="0" fillId="10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1" fontId="0" fillId="12" borderId="1" xfId="0" applyNumberFormat="1" applyFill="1" applyBorder="1"/>
    <xf numFmtId="0" fontId="17" fillId="12" borderId="1" xfId="0" applyFont="1" applyFill="1" applyBorder="1"/>
    <xf numFmtId="0" fontId="0" fillId="0" borderId="2" xfId="0" applyFill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/>
    <xf numFmtId="0" fontId="0" fillId="11" borderId="1" xfId="0" applyFont="1" applyFill="1" applyBorder="1" applyAlignment="1">
      <alignment horizontal="left"/>
    </xf>
    <xf numFmtId="0" fontId="0" fillId="11" borderId="1" xfId="0" applyFont="1" applyFill="1" applyBorder="1"/>
    <xf numFmtId="0" fontId="18" fillId="0" borderId="0" xfId="0" applyFont="1"/>
    <xf numFmtId="0" fontId="20" fillId="13" borderId="1" xfId="0" applyFont="1" applyFill="1" applyBorder="1"/>
    <xf numFmtId="0" fontId="0" fillId="2" borderId="0" xfId="0" applyFill="1" applyBorder="1"/>
    <xf numFmtId="0" fontId="0" fillId="0" borderId="2" xfId="0" applyBorder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21" fillId="0" borderId="0" xfId="0" applyFont="1"/>
    <xf numFmtId="3" fontId="21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3" fontId="21" fillId="0" borderId="0" xfId="0" applyNumberFormat="1" applyFont="1" applyAlignment="1">
      <alignment horizontal="center" vertical="center"/>
    </xf>
  </cellXfs>
  <cellStyles count="25">
    <cellStyle name="Accent" xfId="4" xr:uid="{00000000-0005-0000-0000-000000000000}"/>
    <cellStyle name="Accent 1" xfId="5" xr:uid="{00000000-0005-0000-0000-000001000000}"/>
    <cellStyle name="Accent 2" xfId="6" xr:uid="{00000000-0005-0000-0000-000002000000}"/>
    <cellStyle name="Accent 3" xfId="7" xr:uid="{00000000-0005-0000-0000-000003000000}"/>
    <cellStyle name="Bad" xfId="8" xr:uid="{00000000-0005-0000-0000-000004000000}"/>
    <cellStyle name="Default" xfId="9" xr:uid="{00000000-0005-0000-0000-000005000000}"/>
    <cellStyle name="Error" xfId="10" xr:uid="{00000000-0005-0000-0000-000006000000}"/>
    <cellStyle name="Footnote" xfId="11" xr:uid="{00000000-0005-0000-0000-000007000000}"/>
    <cellStyle name="Good" xfId="12" xr:uid="{00000000-0005-0000-0000-000008000000}"/>
    <cellStyle name="Heading" xfId="13" xr:uid="{00000000-0005-0000-0000-000009000000}"/>
    <cellStyle name="Heading 1" xfId="14" xr:uid="{00000000-0005-0000-0000-00000A000000}"/>
    <cellStyle name="Heading 2" xfId="15" xr:uid="{00000000-0005-0000-0000-00000B000000}"/>
    <cellStyle name="Hyperlink" xfId="16" xr:uid="{00000000-0005-0000-0000-00000C000000}"/>
    <cellStyle name="Millares 2" xfId="24" xr:uid="{00000000-0005-0000-0000-00000D000000}"/>
    <cellStyle name="Neutral 2" xfId="3" xr:uid="{00000000-0005-0000-0000-00000E000000}"/>
    <cellStyle name="Normal" xfId="0" builtinId="0"/>
    <cellStyle name="Normal 2" xfId="1" xr:uid="{00000000-0005-0000-0000-000010000000}"/>
    <cellStyle name="Normal 2 2" xfId="23" xr:uid="{00000000-0005-0000-0000-000011000000}"/>
    <cellStyle name="Normal 2 3" xfId="17" xr:uid="{00000000-0005-0000-0000-000012000000}"/>
    <cellStyle name="Normal 3" xfId="2" xr:uid="{00000000-0005-0000-0000-000013000000}"/>
    <cellStyle name="Note" xfId="18" xr:uid="{00000000-0005-0000-0000-000014000000}"/>
    <cellStyle name="Result" xfId="19" xr:uid="{00000000-0005-0000-0000-000015000000}"/>
    <cellStyle name="Status" xfId="20" xr:uid="{00000000-0005-0000-0000-000016000000}"/>
    <cellStyle name="Text" xfId="21" xr:uid="{00000000-0005-0000-0000-000017000000}"/>
    <cellStyle name="Warning" xfId="22" xr:uid="{00000000-0005-0000-0000-000018000000}"/>
  </cellStyles>
  <dxfs count="1">
    <dxf>
      <fill>
        <patternFill patternType="solid">
          <fgColor rgb="FFC0504D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EZ AMPUERO, Eva" refreshedDate="46188.519468171296" createdVersion="6" refreshedVersion="6" minRefreshableVersion="3" recordCount="161" xr:uid="{97414150-3CB1-4426-9458-58BCC81CE04D}">
  <cacheSource type="worksheet">
    <worksheetSource ref="A1:D162" sheet="tiendas"/>
  </cacheSource>
  <cacheFields count="4">
    <cacheField name="TIENDA" numFmtId="0">
      <sharedItems/>
    </cacheField>
    <cacheField name="VERSIONES  " numFmtId="0">
      <sharedItems count="5">
        <s v="Estándar"/>
        <s v="Ahorramás"/>
        <s v="Galicia"/>
        <s v="Catalán"/>
        <s v="Euskera"/>
      </sharedItems>
    </cacheField>
    <cacheField name="TIRADA " numFmtId="0">
      <sharedItems containsSemiMixedTypes="0" containsString="0" containsNumber="1" containsInteger="1" minValue="600" maxValue="15000"/>
    </cacheField>
    <cacheField name="BUZONEO" numFmtId="0">
      <sharedItems count="31">
        <s v="Winsear Avizor - C/Gluck, 0 S N, Nave 2 Malaga Málaga (ES) 29590 - 08:00h – 1600h - 695-218362 - M José -  -  - "/>
        <s v="El repartidor de Publicidad - C/ Tritón, 6B 29006 Málaga - Horario: 7-12h - Sandra -  623 75 85 98"/>
        <s v="Buzoneos Reina - Crta de Arcos km, 1,5 nave 1 (Junto Rte Don Pepe) Jerez de la Frontera Cádiz (ES) 11405  - 09:00h – 14:30h  - 666387132  - Ismael -  -  - "/>
        <s v="TIENDA - MK FUENTES DE OÑORO - Avda . Europa, 45-37480-FUENTES DE OÑORO (Salamanca)"/>
        <s v="REPAPUBLI, S.L. C/ Juan de la Cierva, 84  - Mostoles - 28936 - Madrid - MANUEL MARTINEZ - 626752418 -  - 8ha17h"/>
        <s v="BUZONEOS JIMENEZ Crta. Argamasilla Numero 57 Nave 11  - Tomelloso - 13700 - Ciudad Real - Pedro - 635259654 -  - 8ha14h"/>
        <s v="CIUDAD REAL EXPRESS Crta de Porzuna km2,30 Nave 2 - Ciudad Real - 13005 - Ciudad Real - MANUEL MARTINEZ - 626752418 -  - 8ha14h"/>
        <s v="QUATTRO PUBLICIDAD C/Norte, 5 Bajo - Puertollano - 13500 - Ciudad Real - MANUEL MARTINEZ - 626752418 -  - 8ha14h"/>
        <s v="PUBLIPONCE SEVILLA C/ Papiro,30 polg.ind. La Negrilla.  - Sevilla - 41016 - Sevilla - MANUEL MARTINEZ - 626752418 -  - 8ha17h"/>
        <s v="HISPAPUBLI   POLG. IND. PAVIPRESA N15   - Huelva - 21007 - Huelva - MANUEL MARTINEZ - 626752418 -  - 8ha17h"/>
        <s v="PUBLIPONCE GRANADA POLG. IND. ASEGRA, Avd. Malaga, 20       - Peligros - 18210 - Granada - MANUEL MARTINEZ - 626752418 -  - 8a13 y 15:30 a 17"/>
        <s v="RECODIS JAEN C/ ESCAÑUELA,36 POLG. IND. LOS OLIVARES  23009 JAEN - Jaen - 23003 - Jaen - MANUEL MARTINEZ - 626752418 -  - 8ha14h"/>
        <s v="Pol Ind. La Portada,2-Santa María,2 - Logroño - 26006 - Logroño - Raúl - 686 643 403 - 941 24 412 - 07:00 a 14.00"/>
        <s v="Pol Ind. Mutilva Bja-C/P-Nº30 - Mutilva - 31192 - Navarra - Javier - 652 938 428 -  - 08:00 a 14:00h"/>
        <s v="Pol.Montalvo, 2-C/Hoyamoros 43-49; Nave 12 (Arco Postal-Del Pozo) - Salamanca - 37008 - Salamanca - Jose - 618 705 125 - 923 121 587 - 09:00 a 13:00h"/>
        <s v="Pol Ind Los Talleres de Zaratán, C/carpintería; Nº1-Nave-2 (Arco Postal-Din A-Public) - Valladolid - 47008 - Valladolid - Ana/Facundo - 647 402 688 - 607 77 79 04 - 09:00 a 13:00h"/>
        <s v="C/La Corraliega, 10 - Herrerade Camargo - 39608 - Santander - Carlos - 649 930 106 - 609 464 738 - 07:30 a 13:00 y 16-.30 a 18:00"/>
        <s v="Infiniti Tech Almería - Sierra de Telar, 10 Viator Almería (ES) 04240  - 07:30h – 11:00h - 641371687  - Fernando -  -  - "/>
        <s v="Aliproser Valencia  - Parque Empresarial Táctica, Carrer del Manyá, 14, B Paterna València (Valencia) (ES) 46980  - 09:00h – 16:00h - 616618298  - Carlos -  -  - "/>
        <s v="Aliproser Alicante - C/Asteroide, 8 nave 14 Alicante (Alicante) (ES) 03007  - 07:30h – 14:00h / 16:00h – 18:00h - 660588598 - Santi -  -  - "/>
        <s v="Sojadan Castellón - Camino Alcora, 71 Almazora/Almassora Castelló (Castellón) (ES) 12550  - Llamar antes de ir para concretar entrega - 637-272988  - Pedro -  -  - "/>
        <s v="Baixada a Salgueira, 25 (Arco Postal-New Post) - Vigo - 36204 - Pontevedra - Gonzalo - 650 209 813 -  - 08:00 a 14:00h"/>
        <s v="* nuevo ALMACEN marzo 2026* NEW POST - Pol Ind Espíritu Santo - Rua Bell , 46 - parcela 18 - nave B - 15650 CAMBRE - A CORUÑA - 667 513 959 "/>
        <s v="Vía Pasteur, 18-20, Pol.del Tambre-Nave GLS (Arco Postal-Publival) - Santiago - 15890 - A Coruña - Miguel - 657 575 782 -  - 07:00 a 15.00h"/>
        <s v="ARCO POSTAL PUBLIVAL NAVE GLS VIA PASTEUR 18-20, 15890 POLIGONO INDUSTRIAL DEL TAMBRE (SANTIAGO) - Miguel - 657 575 782 -  - 07:00 a 15.00h"/>
        <s v="Traycco Publicitat - Alcalá Galiano, 37 Cornella de Llobregat Barcelona (ES) 08940  - 09:00h – 14:00h - 610 42 53 04 / 663742401 - David  -  -  - "/>
        <s v="Transportes Germans - C/ Joan Brossa, 8 Reus Tarragona (ES) 43202  - 7:30h - 13:00h / 15:00h - 19:00h  - 670 395 148  - Josepa -  -  - "/>
        <s v="Veva Bustia - Ctra. de la Canya, 115 Olot Girona (Gerona) (ES) 17800  - 09:00h – 13:00h  - 659535152  -  -  -  - "/>
        <s v="C/Anboto, nº 18-Bajo; Pol Ind Ansoleta (Publimailing) - Vitoria - 1006 - Vitoria - Jorge - 629 220 565  -  - 08:00 a 14:00h"/>
        <s v="Araba,2-Pol. Lezama Leguiamos (Frente a Seur) Euskalkorreo - Etxebarri - 48450 - Bilbao - Loli - 615 748 927 - 944 128 843 - 09:30 a 14:30h"/>
        <s v="C/Mateo Errota, 2; Loc 4-Pol. 27 (Arco Postal-PYB) - Donostia - 20014 - Donostia - Jon - 649 29 96 90 -  - 07:30 a 14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Benalmadena Salvador Vicente"/>
    <x v="0"/>
    <n v="5069"/>
    <x v="0"/>
  </r>
  <r>
    <s v="Nerja Ferrandis"/>
    <x v="0"/>
    <n v="2765"/>
    <x v="1"/>
  </r>
  <r>
    <s v="Marbella General Lopez Dominguez 19"/>
    <x v="0"/>
    <n v="5127"/>
    <x v="1"/>
  </r>
  <r>
    <s v="Puerto Santa Maria Avda. De La Libertad"/>
    <x v="0"/>
    <n v="3053"/>
    <x v="2"/>
  </r>
  <r>
    <s v="Torremolinos Paseo Del Colorado"/>
    <x v="0"/>
    <n v="3053"/>
    <x v="0"/>
  </r>
  <r>
    <s v="Malaga Juan Sebastian El Cano 30"/>
    <x v="0"/>
    <n v="3341"/>
    <x v="1"/>
  </r>
  <r>
    <s v="S.Pedro Alcantara Plaza Istan"/>
    <x v="0"/>
    <n v="4148"/>
    <x v="1"/>
  </r>
  <r>
    <s v="Marbella Cc Guadalmina"/>
    <x v="0"/>
    <n v="1325"/>
    <x v="1"/>
  </r>
  <r>
    <s v="Marbella  Valentuñana"/>
    <x v="0"/>
    <n v="5760"/>
    <x v="1"/>
  </r>
  <r>
    <s v="S.Pedro Alcantara Cortijo Blanco"/>
    <x v="0"/>
    <n v="3100"/>
    <x v="1"/>
  </r>
  <r>
    <s v="Chiclana Cc Tartessus"/>
    <x v="0"/>
    <n v="4500"/>
    <x v="2"/>
  </r>
  <r>
    <s v="Puerto St Maria El Aguila"/>
    <x v="0"/>
    <n v="2500"/>
    <x v="2"/>
  </r>
  <r>
    <s v="Marbella El Rosario"/>
    <x v="0"/>
    <n v="700"/>
    <x v="1"/>
  </r>
  <r>
    <s v="Cc Elviria"/>
    <x v="0"/>
    <n v="1440"/>
    <x v="1"/>
  </r>
  <r>
    <s v="Mijas Costa Cc Los Olivos"/>
    <x v="0"/>
    <n v="1844"/>
    <x v="1"/>
  </r>
  <r>
    <s v="Mijas Nuevo Boulevard"/>
    <x v="0"/>
    <n v="922"/>
    <x v="1"/>
  </r>
  <r>
    <s v="Arroyo De La Miel"/>
    <x v="0"/>
    <n v="2016"/>
    <x v="0"/>
  </r>
  <r>
    <s v="Arroyo De La Miel Obisto Herrera Oria"/>
    <x v="0"/>
    <n v="2880"/>
    <x v="0"/>
  </r>
  <r>
    <s v="GUADALCANTARA"/>
    <x v="0"/>
    <n v="6106"/>
    <x v="1"/>
  </r>
  <r>
    <s v="Chipiona Avda. Sevilla"/>
    <x v="0"/>
    <n v="5250"/>
    <x v="2"/>
  </r>
  <r>
    <s v="Fuentes de Oñoro"/>
    <x v="0"/>
    <n v="600"/>
    <x v="3"/>
  </r>
  <r>
    <s v="EL CASAR"/>
    <x v="0"/>
    <n v="5670"/>
    <x v="4"/>
  </r>
  <r>
    <s v="Albacete- Iris"/>
    <x v="0"/>
    <n v="4551"/>
    <x v="5"/>
  </r>
  <r>
    <s v="Ciudad Real "/>
    <x v="0"/>
    <n v="4600"/>
    <x v="6"/>
  </r>
  <r>
    <s v="PUERTOLLANO"/>
    <x v="0"/>
    <n v="5472"/>
    <x v="7"/>
  </r>
  <r>
    <s v="Sevilla -Nervión"/>
    <x v="0"/>
    <n v="6100"/>
    <x v="8"/>
  </r>
  <r>
    <s v="Huelva"/>
    <x v="0"/>
    <n v="4200"/>
    <x v="9"/>
  </r>
  <r>
    <s v="Salobreña"/>
    <x v="0"/>
    <n v="980"/>
    <x v="10"/>
  </r>
  <r>
    <s v="FRANQUICIA GRANADA  II            "/>
    <x v="0"/>
    <n v="5472"/>
    <x v="10"/>
  </r>
  <r>
    <s v="Franquicia MARTOS                 "/>
    <x v="0"/>
    <n v="2996"/>
    <x v="11"/>
  </r>
  <r>
    <s v="MOTRIL"/>
    <x v="0"/>
    <n v="3500"/>
    <x v="10"/>
  </r>
  <r>
    <s v="HUELVA III (LOS LITRIS)"/>
    <x v="0"/>
    <n v="3744"/>
    <x v="9"/>
  </r>
  <r>
    <s v="MK SEVILLA VIAPOL"/>
    <x v="0"/>
    <n v="9000"/>
    <x v="8"/>
  </r>
  <r>
    <s v="Logrono"/>
    <x v="0"/>
    <n v="6912"/>
    <x v="12"/>
  </r>
  <r>
    <s v="MARKET PAMPLONA-BAYONA        "/>
    <x v="0"/>
    <n v="4666"/>
    <x v="13"/>
  </r>
  <r>
    <s v="MARKET PAMPLONA-LEYRE         "/>
    <x v="0"/>
    <n v="4320"/>
    <x v="13"/>
  </r>
  <r>
    <s v="SALAMANCA 2"/>
    <x v="0"/>
    <n v="5645"/>
    <x v="14"/>
  </r>
  <r>
    <s v="SALAMANCA"/>
    <x v="0"/>
    <n v="8180"/>
    <x v="14"/>
  </r>
  <r>
    <s v="PALENCIA"/>
    <x v="0"/>
    <n v="5876"/>
    <x v="15"/>
  </r>
  <r>
    <s v="VALLADOLID"/>
    <x v="0"/>
    <n v="4493"/>
    <x v="15"/>
  </r>
  <r>
    <s v="SANTANDER"/>
    <x v="0"/>
    <n v="5876"/>
    <x v="16"/>
  </r>
  <r>
    <s v="Almeria"/>
    <x v="0"/>
    <n v="7000"/>
    <x v="17"/>
  </r>
  <r>
    <s v="Cadiz"/>
    <x v="0"/>
    <n v="3456"/>
    <x v="2"/>
  </r>
  <r>
    <s v="Rota"/>
    <x v="0"/>
    <n v="3570"/>
    <x v="2"/>
  </r>
  <r>
    <s v="Jerez"/>
    <x v="0"/>
    <n v="5184"/>
    <x v="2"/>
  </r>
  <r>
    <s v="Cibeles"/>
    <x v="0"/>
    <n v="4378"/>
    <x v="18"/>
  </r>
  <r>
    <s v="Cadiz Garcia Gamero 28"/>
    <x v="0"/>
    <n v="1901"/>
    <x v="2"/>
  </r>
  <r>
    <s v="Nerja El Capistrano"/>
    <x v="0"/>
    <n v="1325"/>
    <x v="1"/>
  </r>
  <r>
    <s v="Cartama "/>
    <x v="0"/>
    <n v="1800"/>
    <x v="1"/>
  </r>
  <r>
    <s v="Conil"/>
    <x v="0"/>
    <n v="4100"/>
    <x v="2"/>
  </r>
  <r>
    <s v="Moraira"/>
    <x v="0"/>
    <n v="1498"/>
    <x v="19"/>
  </r>
  <r>
    <s v="Marbella Nagüelles"/>
    <x v="0"/>
    <n v="5000"/>
    <x v="1"/>
  </r>
  <r>
    <s v="Antonio Machado"/>
    <x v="0"/>
    <n v="6509"/>
    <x v="0"/>
  </r>
  <r>
    <s v="Estepona Almenara"/>
    <x v="0"/>
    <n v="3456"/>
    <x v="1"/>
  </r>
  <r>
    <s v="Vejer"/>
    <x v="0"/>
    <n v="1844"/>
    <x v="2"/>
  </r>
  <r>
    <s v="Estepona"/>
    <x v="0"/>
    <n v="3456"/>
    <x v="1"/>
  </r>
  <r>
    <s v="Rincon De La Victoria La Cala Del Moral"/>
    <x v="0"/>
    <n v="3226"/>
    <x v="1"/>
  </r>
  <r>
    <s v="Campello"/>
    <x v="0"/>
    <n v="3629"/>
    <x v="19"/>
  </r>
  <r>
    <s v="PATERNA"/>
    <x v="0"/>
    <n v="4400"/>
    <x v="18"/>
  </r>
  <r>
    <s v=" CÁDIZ DIEGO ARIAS"/>
    <x v="0"/>
    <n v="3284"/>
    <x v="2"/>
  </r>
  <r>
    <s v="MALAGA GORDON 13           "/>
    <x v="0"/>
    <n v="5876"/>
    <x v="1"/>
  </r>
  <r>
    <s v="Franquicia SAN FERNANDO         "/>
    <x v="0"/>
    <n v="4724"/>
    <x v="2"/>
  </r>
  <r>
    <s v="CASTELLON"/>
    <x v="0"/>
    <n v="5760"/>
    <x v="20"/>
  </r>
  <r>
    <s v="San Vicente De Raspeig"/>
    <x v="0"/>
    <n v="7085"/>
    <x v="19"/>
  </r>
  <r>
    <s v="Cádiz 2"/>
    <x v="0"/>
    <n v="4050"/>
    <x v="2"/>
  </r>
  <r>
    <s v="Franquicia Acacias 4"/>
    <x v="1"/>
    <n v="5760"/>
    <x v="4"/>
  </r>
  <r>
    <s v="Avda. Niza, 50"/>
    <x v="1"/>
    <n v="6700"/>
    <x v="4"/>
  </r>
  <r>
    <s v="Brescia"/>
    <x v="1"/>
    <n v="5976"/>
    <x v="4"/>
  </r>
  <r>
    <s v="Madrid Galileo 87"/>
    <x v="1"/>
    <n v="6480"/>
    <x v="4"/>
  </r>
  <r>
    <s v="Julián Romea"/>
    <x v="1"/>
    <n v="4680"/>
    <x v="4"/>
  </r>
  <r>
    <s v="Franquicia Leganés II"/>
    <x v="1"/>
    <n v="6840"/>
    <x v="4"/>
  </r>
  <r>
    <s v="Las Rozas Martín Iriarte"/>
    <x v="1"/>
    <n v="2000"/>
    <x v="4"/>
  </r>
  <r>
    <s v="Quevedo"/>
    <x v="1"/>
    <n v="8756"/>
    <x v="4"/>
  </r>
  <r>
    <s v="Moscatelar"/>
    <x v="1"/>
    <n v="3456"/>
    <x v="4"/>
  </r>
  <r>
    <s v="El Encinar"/>
    <x v="1"/>
    <n v="5876"/>
    <x v="4"/>
  </r>
  <r>
    <s v="Bolivar"/>
    <x v="1"/>
    <n v="5760"/>
    <x v="4"/>
  </r>
  <r>
    <s v="Madrid Golfo Salónica 2"/>
    <x v="1"/>
    <n v="5200"/>
    <x v="4"/>
  </r>
  <r>
    <s v="Parque Lisboa (Alcorcón)"/>
    <x v="1"/>
    <n v="5760"/>
    <x v="4"/>
  </r>
  <r>
    <s v="Alberto Aguilera II"/>
    <x v="1"/>
    <n v="8756"/>
    <x v="4"/>
  </r>
  <r>
    <s v="Conde de Peñalver"/>
    <x v="1"/>
    <n v="7000"/>
    <x v="4"/>
  </r>
  <r>
    <s v="Madrid-Orense"/>
    <x v="1"/>
    <n v="7000"/>
    <x v="4"/>
  </r>
  <r>
    <s v="Príncipe de Vergara, 120"/>
    <x v="1"/>
    <n v="6400"/>
    <x v="4"/>
  </r>
  <r>
    <s v="Príncipe de Vergara, 253"/>
    <x v="1"/>
    <n v="6400"/>
    <x v="4"/>
  </r>
  <r>
    <s v="Boadilla del Monte"/>
    <x v="1"/>
    <n v="5100"/>
    <x v="4"/>
  </r>
  <r>
    <s v="Franquicia C/Alcalá, 281 (Madrid)"/>
    <x v="1"/>
    <n v="5300"/>
    <x v="4"/>
  </r>
  <r>
    <s v="C/Alcalá, 396 (Madrid)"/>
    <x v="1"/>
    <n v="5300"/>
    <x v="4"/>
  </r>
  <r>
    <s v="Franquicia Canillas, 142"/>
    <x v="1"/>
    <n v="5180"/>
    <x v="4"/>
  </r>
  <r>
    <s v="Coslada"/>
    <x v="1"/>
    <n v="5300"/>
    <x v="4"/>
  </r>
  <r>
    <s v="Franquicia Laguna II"/>
    <x v="1"/>
    <n v="4700"/>
    <x v="4"/>
  </r>
  <r>
    <s v="Las Rozas"/>
    <x v="1"/>
    <n v="4140"/>
    <x v="4"/>
  </r>
  <r>
    <s v="Lavapiés"/>
    <x v="1"/>
    <n v="5800"/>
    <x v="4"/>
  </r>
  <r>
    <s v="Moratalaz"/>
    <x v="1"/>
    <n v="5300"/>
    <x v="4"/>
  </r>
  <r>
    <s v="Miraflores del Río"/>
    <x v="1"/>
    <n v="1600"/>
    <x v="4"/>
  </r>
  <r>
    <s v="Nuevo Baztan"/>
    <x v="1"/>
    <n v="1700"/>
    <x v="4"/>
  </r>
  <r>
    <s v="Ortega y Gasset, 63"/>
    <x v="1"/>
    <n v="5760"/>
    <x v="4"/>
  </r>
  <r>
    <s v=" Franquicia San Martin de Valdeiglesias"/>
    <x v="1"/>
    <n v="2000"/>
    <x v="4"/>
  </r>
  <r>
    <s v="Tudescos"/>
    <x v="1"/>
    <n v="5760"/>
    <x v="4"/>
  </r>
  <r>
    <s v="Algete"/>
    <x v="1"/>
    <n v="2477"/>
    <x v="4"/>
  </r>
  <r>
    <s v="Aluche"/>
    <x v="1"/>
    <n v="5184"/>
    <x v="4"/>
  </r>
  <r>
    <s v="Arroyomolinos"/>
    <x v="1"/>
    <n v="5357"/>
    <x v="4"/>
  </r>
  <r>
    <s v="El Escorial"/>
    <x v="1"/>
    <n v="3111"/>
    <x v="4"/>
  </r>
  <r>
    <s v="Leganés Fuente Honda"/>
    <x v="1"/>
    <n v="5876"/>
    <x v="4"/>
  </r>
  <r>
    <s v="Mercado Alto Extremadura"/>
    <x v="1"/>
    <n v="4724"/>
    <x v="4"/>
  </r>
  <r>
    <s v="Móstoles"/>
    <x v="1"/>
    <n v="5300"/>
    <x v="4"/>
  </r>
  <r>
    <s v="Parla"/>
    <x v="1"/>
    <n v="5300"/>
    <x v="4"/>
  </r>
  <r>
    <s v="Sinesio Delgado"/>
    <x v="1"/>
    <n v="8756"/>
    <x v="4"/>
  </r>
  <r>
    <s v="Tirso de Molina"/>
    <x v="1"/>
    <n v="7028"/>
    <x v="4"/>
  </r>
  <r>
    <s v="Valdebebas"/>
    <x v="1"/>
    <n v="7028"/>
    <x v="4"/>
  </r>
  <r>
    <s v="Valdemoro"/>
    <x v="1"/>
    <n v="7028"/>
    <x v="4"/>
  </r>
  <r>
    <s v="Vallecas"/>
    <x v="1"/>
    <n v="6452"/>
    <x v="4"/>
  </r>
  <r>
    <s v="Cuatro Caminos"/>
    <x v="1"/>
    <n v="6452"/>
    <x v="4"/>
  </r>
  <r>
    <s v="BOADILLA LA CÁRCAVA"/>
    <x v="1"/>
    <n v="6570"/>
    <x v="4"/>
  </r>
  <r>
    <s v="C/Toledo 143"/>
    <x v="1"/>
    <n v="5472"/>
    <x v="4"/>
  </r>
  <r>
    <s v="Villaviciosa de Odón "/>
    <x v="1"/>
    <n v="8900"/>
    <x v="4"/>
  </r>
  <r>
    <s v="Canal Isabel II"/>
    <x v="1"/>
    <n v="8640"/>
    <x v="4"/>
  </r>
  <r>
    <s v="MK Paseo Imperial "/>
    <x v="1"/>
    <n v="15000"/>
    <x v="4"/>
  </r>
  <r>
    <s v="Sanxenxo (Pontevedra)"/>
    <x v="2"/>
    <n v="2800"/>
    <x v="21"/>
  </r>
  <r>
    <s v="Sada"/>
    <x v="2"/>
    <n v="2000"/>
    <x v="22"/>
  </r>
  <r>
    <s v="Cee (Plaza Comercio)"/>
    <x v="2"/>
    <n v="1700"/>
    <x v="22"/>
  </r>
  <r>
    <s v="Moaña"/>
    <x v="2"/>
    <n v="1584"/>
    <x v="21"/>
  </r>
  <r>
    <s v=" Franquicia BAIONA II            "/>
    <x v="2"/>
    <n v="1584"/>
    <x v="21"/>
  </r>
  <r>
    <s v="SANTIAGO"/>
    <x v="2"/>
    <n v="6700"/>
    <x v="23"/>
  </r>
  <r>
    <s v="AMES BERTAMIRANS"/>
    <x v="2"/>
    <n v="3500"/>
    <x v="24"/>
  </r>
  <r>
    <s v="Sitges"/>
    <x v="3"/>
    <n v="7000"/>
    <x v="25"/>
  </r>
  <r>
    <s v="Santa Coloma De Gramanet 2"/>
    <x v="3"/>
    <n v="9200"/>
    <x v="25"/>
  </r>
  <r>
    <s v="Vallfogona"/>
    <x v="3"/>
    <n v="2880"/>
    <x v="25"/>
  </r>
  <r>
    <s v="Viladecans"/>
    <x v="3"/>
    <n v="6336"/>
    <x v="25"/>
  </r>
  <r>
    <s v="Valls"/>
    <x v="3"/>
    <n v="4896"/>
    <x v="26"/>
  </r>
  <r>
    <s v="Barcelona Sants"/>
    <x v="3"/>
    <n v="8640"/>
    <x v="25"/>
  </r>
  <r>
    <s v="El Vendrell"/>
    <x v="3"/>
    <n v="3744"/>
    <x v="25"/>
  </r>
  <r>
    <s v="Castelldefels"/>
    <x v="3"/>
    <n v="5040"/>
    <x v="25"/>
  </r>
  <r>
    <s v="Cubelles"/>
    <x v="3"/>
    <n v="4205"/>
    <x v="25"/>
  </r>
  <r>
    <s v="Torredembarra"/>
    <x v="3"/>
    <n v="5760"/>
    <x v="25"/>
  </r>
  <r>
    <s v="Ramblas"/>
    <x v="3"/>
    <n v="9504"/>
    <x v="25"/>
  </r>
  <r>
    <s v="Platja De Aro 1"/>
    <x v="3"/>
    <n v="4320"/>
    <x v="27"/>
  </r>
  <r>
    <s v="Terrasa 2"/>
    <x v="3"/>
    <n v="5700"/>
    <x v="25"/>
  </r>
  <r>
    <s v="Pineda 1"/>
    <x v="3"/>
    <n v="2996"/>
    <x v="25"/>
  </r>
  <r>
    <s v="Pineda 2"/>
    <x v="3"/>
    <n v="2500"/>
    <x v="25"/>
  </r>
  <r>
    <s v="La Escala 1"/>
    <x v="3"/>
    <n v="5400"/>
    <x v="27"/>
  </r>
  <r>
    <s v="Torre Valentina"/>
    <x v="3"/>
    <n v="2300"/>
    <x v="27"/>
  </r>
  <r>
    <s v="Roses 1"/>
    <x v="3"/>
    <n v="4680"/>
    <x v="27"/>
  </r>
  <r>
    <s v="Torroella"/>
    <x v="3"/>
    <n v="3000"/>
    <x v="27"/>
  </r>
  <r>
    <s v="Palafrugell"/>
    <x v="3"/>
    <n v="4400"/>
    <x v="27"/>
  </r>
  <r>
    <s v="Puigcerda"/>
    <x v="3"/>
    <n v="5200"/>
    <x v="25"/>
  </r>
  <r>
    <s v="Berga"/>
    <x v="3"/>
    <n v="3000"/>
    <x v="25"/>
  </r>
  <r>
    <s v="Manresa"/>
    <x v="3"/>
    <n v="6696"/>
    <x v="25"/>
  </r>
  <r>
    <s v="Roger de Flor"/>
    <x v="3"/>
    <n v="7344"/>
    <x v="25"/>
  </r>
  <r>
    <s v="Tarragona"/>
    <x v="3"/>
    <n v="8064"/>
    <x v="26"/>
  </r>
  <r>
    <s v="Vía Laietana"/>
    <x v="3"/>
    <n v="9200"/>
    <x v="25"/>
  </r>
  <r>
    <s v="Barcelona-Dante"/>
    <x v="3"/>
    <n v="8000"/>
    <x v="25"/>
  </r>
  <r>
    <s v="Cardedeu"/>
    <x v="3"/>
    <n v="4896"/>
    <x v="25"/>
  </r>
  <r>
    <s v="Igualada"/>
    <x v="3"/>
    <n v="4300"/>
    <x v="25"/>
  </r>
  <r>
    <s v="Mercado Guinardo"/>
    <x v="3"/>
    <n v="10000"/>
    <x v="25"/>
  </r>
  <r>
    <s v="Mercado Provençals"/>
    <x v="3"/>
    <n v="10000"/>
    <x v="25"/>
  </r>
  <r>
    <s v="Santa Coloma de Gramanet 1"/>
    <x v="3"/>
    <n v="10800"/>
    <x v="25"/>
  </r>
  <r>
    <s v="Sarriá"/>
    <x v="3"/>
    <n v="6600"/>
    <x v="25"/>
  </r>
  <r>
    <s v="Arechavaleta"/>
    <x v="4"/>
    <n v="4300"/>
    <x v="28"/>
  </r>
  <r>
    <s v="BILBAO 2"/>
    <x v="4"/>
    <n v="7600"/>
    <x v="29"/>
  </r>
  <r>
    <s v="BILBAO"/>
    <x v="4"/>
    <n v="9200"/>
    <x v="29"/>
  </r>
  <r>
    <s v="VITORIA"/>
    <x v="4"/>
    <n v="7200"/>
    <x v="28"/>
  </r>
  <r>
    <s v="TOLOSA"/>
    <x v="4"/>
    <n v="5500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63751-0385-4F2D-81B2-80CAB0AD1CE3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41" firstHeaderRow="1" firstDataRow="1" firstDataCol="1"/>
  <pivotFields count="4"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dataField="1" showAll="0"/>
    <pivotField axis="axisRow" showAll="0">
      <items count="32">
        <item x="22"/>
        <item x="19"/>
        <item x="18"/>
        <item x="29"/>
        <item x="24"/>
        <item x="21"/>
        <item x="5"/>
        <item x="2"/>
        <item x="28"/>
        <item x="16"/>
        <item x="30"/>
        <item x="6"/>
        <item x="1"/>
        <item x="9"/>
        <item x="17"/>
        <item x="15"/>
        <item x="12"/>
        <item x="13"/>
        <item x="14"/>
        <item x="10"/>
        <item x="8"/>
        <item x="7"/>
        <item x="11"/>
        <item x="4"/>
        <item x="20"/>
        <item x="3"/>
        <item x="26"/>
        <item x="25"/>
        <item x="27"/>
        <item x="23"/>
        <item x="0"/>
        <item t="default"/>
      </items>
    </pivotField>
  </pivotFields>
  <rowFields count="2">
    <field x="1"/>
    <field x="3"/>
  </rowFields>
  <rowItems count="38">
    <i>
      <x/>
    </i>
    <i r="1">
      <x v="23"/>
    </i>
    <i>
      <x v="1"/>
    </i>
    <i r="1">
      <x v="26"/>
    </i>
    <i r="1">
      <x v="27"/>
    </i>
    <i r="1">
      <x v="28"/>
    </i>
    <i>
      <x v="2"/>
    </i>
    <i r="1">
      <x v="1"/>
    </i>
    <i r="1">
      <x v="2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30"/>
    </i>
    <i>
      <x v="3"/>
    </i>
    <i r="1">
      <x v="3"/>
    </i>
    <i r="1">
      <x v="8"/>
    </i>
    <i r="1">
      <x v="10"/>
    </i>
    <i>
      <x v="4"/>
    </i>
    <i r="1">
      <x/>
    </i>
    <i r="1">
      <x v="4"/>
    </i>
    <i r="1">
      <x v="5"/>
    </i>
    <i r="1">
      <x v="29"/>
    </i>
    <i t="grand">
      <x/>
    </i>
  </rowItems>
  <colItems count="1">
    <i/>
  </colItems>
  <dataFields count="1">
    <dataField name="Suma de TIRADA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7912-84F8-4FBF-A877-822908C26A8A}">
  <dimension ref="A3:B41"/>
  <sheetViews>
    <sheetView topLeftCell="A2" workbookViewId="0"/>
  </sheetViews>
  <sheetFormatPr baseColWidth="10" defaultRowHeight="14.4"/>
  <cols>
    <col min="1" max="1" width="150.88671875" bestFit="1" customWidth="1"/>
    <col min="2" max="2" width="15.5546875" bestFit="1" customWidth="1"/>
  </cols>
  <sheetData>
    <row r="3" spans="1:2">
      <c r="A3" s="23" t="s">
        <v>268</v>
      </c>
      <c r="B3" t="s">
        <v>305</v>
      </c>
    </row>
    <row r="4" spans="1:2">
      <c r="A4" s="4" t="s">
        <v>8</v>
      </c>
      <c r="B4" s="24">
        <v>296395</v>
      </c>
    </row>
    <row r="5" spans="1:2">
      <c r="A5" s="27" t="s">
        <v>274</v>
      </c>
      <c r="B5" s="24">
        <v>296395</v>
      </c>
    </row>
    <row r="6" spans="1:2">
      <c r="A6" s="4" t="s">
        <v>195</v>
      </c>
      <c r="B6" s="24">
        <v>196601</v>
      </c>
    </row>
    <row r="7" spans="1:2">
      <c r="A7" s="27" t="s">
        <v>275</v>
      </c>
      <c r="B7" s="24">
        <v>12960</v>
      </c>
    </row>
    <row r="8" spans="1:2">
      <c r="A8" s="27" t="s">
        <v>276</v>
      </c>
      <c r="B8" s="24">
        <v>159541</v>
      </c>
    </row>
    <row r="9" spans="1:2">
      <c r="A9" s="27" t="s">
        <v>277</v>
      </c>
      <c r="B9" s="24">
        <v>24100</v>
      </c>
    </row>
    <row r="10" spans="1:2">
      <c r="A10" s="4" t="s">
        <v>128</v>
      </c>
      <c r="B10" s="24">
        <v>264263</v>
      </c>
    </row>
    <row r="11" spans="1:2">
      <c r="A11" s="27" t="s">
        <v>278</v>
      </c>
      <c r="B11" s="24">
        <v>12212</v>
      </c>
    </row>
    <row r="12" spans="1:2">
      <c r="A12" s="27" t="s">
        <v>279</v>
      </c>
      <c r="B12" s="24">
        <v>8778</v>
      </c>
    </row>
    <row r="13" spans="1:2">
      <c r="A13" s="27" t="s">
        <v>280</v>
      </c>
      <c r="B13" s="24">
        <v>4551</v>
      </c>
    </row>
    <row r="14" spans="1:2">
      <c r="A14" s="27" t="s">
        <v>281</v>
      </c>
      <c r="B14" s="24">
        <v>47416</v>
      </c>
    </row>
    <row r="15" spans="1:2">
      <c r="A15" s="27" t="s">
        <v>282</v>
      </c>
      <c r="B15" s="24">
        <v>5876</v>
      </c>
    </row>
    <row r="16" spans="1:2">
      <c r="A16" s="27" t="s">
        <v>283</v>
      </c>
      <c r="B16" s="24">
        <v>4600</v>
      </c>
    </row>
    <row r="17" spans="1:2">
      <c r="A17" s="27" t="s">
        <v>284</v>
      </c>
      <c r="B17" s="24">
        <v>60717</v>
      </c>
    </row>
    <row r="18" spans="1:2">
      <c r="A18" s="27" t="s">
        <v>285</v>
      </c>
      <c r="B18" s="24">
        <v>7944</v>
      </c>
    </row>
    <row r="19" spans="1:2">
      <c r="A19" s="27" t="s">
        <v>286</v>
      </c>
      <c r="B19" s="24">
        <v>7000</v>
      </c>
    </row>
    <row r="20" spans="1:2">
      <c r="A20" s="27" t="s">
        <v>287</v>
      </c>
      <c r="B20" s="24">
        <v>10369</v>
      </c>
    </row>
    <row r="21" spans="1:2">
      <c r="A21" s="27" t="s">
        <v>288</v>
      </c>
      <c r="B21" s="24">
        <v>6912</v>
      </c>
    </row>
    <row r="22" spans="1:2">
      <c r="A22" s="27" t="s">
        <v>289</v>
      </c>
      <c r="B22" s="24">
        <v>8986</v>
      </c>
    </row>
    <row r="23" spans="1:2">
      <c r="A23" s="27" t="s">
        <v>290</v>
      </c>
      <c r="B23" s="24">
        <v>13825</v>
      </c>
    </row>
    <row r="24" spans="1:2">
      <c r="A24" s="27" t="s">
        <v>291</v>
      </c>
      <c r="B24" s="24">
        <v>9952</v>
      </c>
    </row>
    <row r="25" spans="1:2">
      <c r="A25" s="27" t="s">
        <v>292</v>
      </c>
      <c r="B25" s="24">
        <v>15100</v>
      </c>
    </row>
    <row r="26" spans="1:2">
      <c r="A26" s="27" t="s">
        <v>293</v>
      </c>
      <c r="B26" s="24">
        <v>5472</v>
      </c>
    </row>
    <row r="27" spans="1:2">
      <c r="A27" s="27" t="s">
        <v>294</v>
      </c>
      <c r="B27" s="24">
        <v>2996</v>
      </c>
    </row>
    <row r="28" spans="1:2">
      <c r="A28" s="27" t="s">
        <v>274</v>
      </c>
      <c r="B28" s="24">
        <v>5670</v>
      </c>
    </row>
    <row r="29" spans="1:2">
      <c r="A29" s="27" t="s">
        <v>295</v>
      </c>
      <c r="B29" s="24">
        <v>5760</v>
      </c>
    </row>
    <row r="30" spans="1:2">
      <c r="A30" s="27" t="s">
        <v>296</v>
      </c>
      <c r="B30" s="24">
        <v>600</v>
      </c>
    </row>
    <row r="31" spans="1:2">
      <c r="A31" s="27" t="s">
        <v>297</v>
      </c>
      <c r="B31" s="24">
        <v>19527</v>
      </c>
    </row>
    <row r="32" spans="1:2">
      <c r="A32" s="4" t="s">
        <v>104</v>
      </c>
      <c r="B32" s="24">
        <v>33800</v>
      </c>
    </row>
    <row r="33" spans="1:2">
      <c r="A33" s="27" t="s">
        <v>298</v>
      </c>
      <c r="B33" s="24">
        <v>16800</v>
      </c>
    </row>
    <row r="34" spans="1:2">
      <c r="A34" s="27" t="s">
        <v>299</v>
      </c>
      <c r="B34" s="24">
        <v>11500</v>
      </c>
    </row>
    <row r="35" spans="1:2">
      <c r="A35" s="27" t="s">
        <v>300</v>
      </c>
      <c r="B35" s="24">
        <v>5500</v>
      </c>
    </row>
    <row r="36" spans="1:2">
      <c r="A36" s="4" t="s">
        <v>114</v>
      </c>
      <c r="B36" s="24">
        <v>19868</v>
      </c>
    </row>
    <row r="37" spans="1:2">
      <c r="A37" s="27" t="s">
        <v>301</v>
      </c>
      <c r="B37" s="24">
        <v>3700</v>
      </c>
    </row>
    <row r="38" spans="1:2">
      <c r="A38" s="27" t="s">
        <v>302</v>
      </c>
      <c r="B38" s="24">
        <v>3500</v>
      </c>
    </row>
    <row r="39" spans="1:2">
      <c r="A39" s="27" t="s">
        <v>303</v>
      </c>
      <c r="B39" s="24">
        <v>5968</v>
      </c>
    </row>
    <row r="40" spans="1:2">
      <c r="A40" s="27" t="s">
        <v>304</v>
      </c>
      <c r="B40" s="24">
        <v>6700</v>
      </c>
    </row>
    <row r="41" spans="1:2">
      <c r="A41" s="4" t="s">
        <v>269</v>
      </c>
      <c r="B41" s="24">
        <v>810927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C956-42D4-4FE9-85C0-A4AE2CF06BE0}">
  <dimension ref="A1:D162"/>
  <sheetViews>
    <sheetView workbookViewId="0"/>
  </sheetViews>
  <sheetFormatPr baseColWidth="10" defaultRowHeight="14.4"/>
  <sheetData>
    <row r="1" spans="1:4">
      <c r="A1" s="25" t="s">
        <v>3</v>
      </c>
      <c r="B1" s="25" t="s">
        <v>270</v>
      </c>
      <c r="C1" s="26" t="s">
        <v>271</v>
      </c>
      <c r="D1" s="25" t="s">
        <v>267</v>
      </c>
    </row>
    <row r="2" spans="1:4">
      <c r="A2" t="s">
        <v>143</v>
      </c>
      <c r="B2" t="s">
        <v>128</v>
      </c>
      <c r="C2">
        <v>5069</v>
      </c>
      <c r="D2" t="s">
        <v>297</v>
      </c>
    </row>
    <row r="3" spans="1:4">
      <c r="A3" t="s">
        <v>146</v>
      </c>
      <c r="B3" t="s">
        <v>128</v>
      </c>
      <c r="C3">
        <v>2765</v>
      </c>
      <c r="D3" t="s">
        <v>284</v>
      </c>
    </row>
    <row r="4" spans="1:4">
      <c r="A4" t="s">
        <v>149</v>
      </c>
      <c r="B4" t="s">
        <v>128</v>
      </c>
      <c r="C4">
        <v>5127</v>
      </c>
      <c r="D4" t="s">
        <v>284</v>
      </c>
    </row>
    <row r="5" spans="1:4">
      <c r="A5" t="s">
        <v>150</v>
      </c>
      <c r="B5" t="s">
        <v>128</v>
      </c>
      <c r="C5">
        <v>3053</v>
      </c>
      <c r="D5" t="s">
        <v>281</v>
      </c>
    </row>
    <row r="6" spans="1:4">
      <c r="A6" t="s">
        <v>155</v>
      </c>
      <c r="B6" t="s">
        <v>128</v>
      </c>
      <c r="C6">
        <v>3053</v>
      </c>
      <c r="D6" t="s">
        <v>297</v>
      </c>
    </row>
    <row r="7" spans="1:4">
      <c r="A7" t="s">
        <v>156</v>
      </c>
      <c r="B7" t="s">
        <v>128</v>
      </c>
      <c r="C7">
        <v>3341</v>
      </c>
      <c r="D7" t="s">
        <v>284</v>
      </c>
    </row>
    <row r="8" spans="1:4">
      <c r="A8" t="s">
        <v>158</v>
      </c>
      <c r="B8" t="s">
        <v>128</v>
      </c>
      <c r="C8">
        <v>4148</v>
      </c>
      <c r="D8" t="s">
        <v>284</v>
      </c>
    </row>
    <row r="9" spans="1:4">
      <c r="A9" t="s">
        <v>159</v>
      </c>
      <c r="B9" t="s">
        <v>128</v>
      </c>
      <c r="C9">
        <v>1325</v>
      </c>
      <c r="D9" t="s">
        <v>284</v>
      </c>
    </row>
    <row r="10" spans="1:4">
      <c r="A10" t="s">
        <v>161</v>
      </c>
      <c r="B10" t="s">
        <v>128</v>
      </c>
      <c r="C10">
        <v>5760</v>
      </c>
      <c r="D10" t="s">
        <v>284</v>
      </c>
    </row>
    <row r="11" spans="1:4">
      <c r="A11" t="s">
        <v>162</v>
      </c>
      <c r="B11" t="s">
        <v>128</v>
      </c>
      <c r="C11">
        <v>3100</v>
      </c>
      <c r="D11" t="s">
        <v>284</v>
      </c>
    </row>
    <row r="12" spans="1:4">
      <c r="A12" t="s">
        <v>164</v>
      </c>
      <c r="B12" t="s">
        <v>128</v>
      </c>
      <c r="C12">
        <v>4500</v>
      </c>
      <c r="D12" t="s">
        <v>281</v>
      </c>
    </row>
    <row r="13" spans="1:4">
      <c r="A13" t="s">
        <v>166</v>
      </c>
      <c r="B13" t="s">
        <v>128</v>
      </c>
      <c r="C13">
        <v>2500</v>
      </c>
      <c r="D13" t="s">
        <v>281</v>
      </c>
    </row>
    <row r="14" spans="1:4">
      <c r="A14" t="s">
        <v>167</v>
      </c>
      <c r="B14" t="s">
        <v>128</v>
      </c>
      <c r="C14">
        <v>700</v>
      </c>
      <c r="D14" t="s">
        <v>284</v>
      </c>
    </row>
    <row r="15" spans="1:4">
      <c r="A15" t="s">
        <v>170</v>
      </c>
      <c r="B15" t="s">
        <v>128</v>
      </c>
      <c r="C15">
        <v>1440</v>
      </c>
      <c r="D15" t="s">
        <v>284</v>
      </c>
    </row>
    <row r="16" spans="1:4">
      <c r="A16" t="s">
        <v>172</v>
      </c>
      <c r="B16" t="s">
        <v>128</v>
      </c>
      <c r="C16">
        <v>1844</v>
      </c>
      <c r="D16" t="s">
        <v>284</v>
      </c>
    </row>
    <row r="17" spans="1:4">
      <c r="A17" t="s">
        <v>175</v>
      </c>
      <c r="B17" t="s">
        <v>128</v>
      </c>
      <c r="C17">
        <v>922</v>
      </c>
      <c r="D17" t="s">
        <v>284</v>
      </c>
    </row>
    <row r="18" spans="1:4">
      <c r="A18" t="s">
        <v>180</v>
      </c>
      <c r="B18" t="s">
        <v>128</v>
      </c>
      <c r="C18">
        <v>2016</v>
      </c>
      <c r="D18" t="s">
        <v>297</v>
      </c>
    </row>
    <row r="19" spans="1:4">
      <c r="A19" t="s">
        <v>181</v>
      </c>
      <c r="B19" t="s">
        <v>128</v>
      </c>
      <c r="C19">
        <v>2880</v>
      </c>
      <c r="D19" t="s">
        <v>297</v>
      </c>
    </row>
    <row r="20" spans="1:4">
      <c r="A20" t="s">
        <v>192</v>
      </c>
      <c r="B20" t="s">
        <v>128</v>
      </c>
      <c r="C20">
        <v>6106</v>
      </c>
      <c r="D20" t="s">
        <v>284</v>
      </c>
    </row>
    <row r="21" spans="1:4">
      <c r="A21" t="s">
        <v>256</v>
      </c>
      <c r="B21" t="s">
        <v>128</v>
      </c>
      <c r="C21">
        <v>5250</v>
      </c>
      <c r="D21" t="s">
        <v>281</v>
      </c>
    </row>
    <row r="22" spans="1:4">
      <c r="A22" t="s">
        <v>191</v>
      </c>
      <c r="B22" t="s">
        <v>128</v>
      </c>
      <c r="C22">
        <v>600</v>
      </c>
      <c r="D22" t="s">
        <v>296</v>
      </c>
    </row>
    <row r="23" spans="1:4">
      <c r="A23" t="s">
        <v>82</v>
      </c>
      <c r="B23" t="s">
        <v>128</v>
      </c>
      <c r="C23">
        <v>5670</v>
      </c>
      <c r="D23" t="s">
        <v>274</v>
      </c>
    </row>
    <row r="24" spans="1:4">
      <c r="A24" t="s">
        <v>84</v>
      </c>
      <c r="B24" t="s">
        <v>128</v>
      </c>
      <c r="C24">
        <v>4551</v>
      </c>
      <c r="D24" t="s">
        <v>280</v>
      </c>
    </row>
    <row r="25" spans="1:4">
      <c r="A25" t="s">
        <v>86</v>
      </c>
      <c r="B25" t="s">
        <v>128</v>
      </c>
      <c r="C25">
        <v>4600</v>
      </c>
      <c r="D25" t="s">
        <v>283</v>
      </c>
    </row>
    <row r="26" spans="1:4">
      <c r="A26" t="s">
        <v>88</v>
      </c>
      <c r="B26" t="s">
        <v>128</v>
      </c>
      <c r="C26">
        <v>5472</v>
      </c>
      <c r="D26" t="s">
        <v>293</v>
      </c>
    </row>
    <row r="27" spans="1:4">
      <c r="A27" t="s">
        <v>89</v>
      </c>
      <c r="B27" t="s">
        <v>128</v>
      </c>
      <c r="C27">
        <v>6100</v>
      </c>
      <c r="D27" t="s">
        <v>292</v>
      </c>
    </row>
    <row r="28" spans="1:4">
      <c r="A28" t="s">
        <v>91</v>
      </c>
      <c r="B28" t="s">
        <v>128</v>
      </c>
      <c r="C28">
        <v>4200</v>
      </c>
      <c r="D28" t="s">
        <v>285</v>
      </c>
    </row>
    <row r="29" spans="1:4">
      <c r="A29" t="s">
        <v>92</v>
      </c>
      <c r="B29" t="s">
        <v>128</v>
      </c>
      <c r="C29">
        <v>980</v>
      </c>
      <c r="D29" t="s">
        <v>291</v>
      </c>
    </row>
    <row r="30" spans="1:4">
      <c r="A30" t="s">
        <v>93</v>
      </c>
      <c r="B30" t="s">
        <v>128</v>
      </c>
      <c r="C30">
        <v>5472</v>
      </c>
      <c r="D30" t="s">
        <v>291</v>
      </c>
    </row>
    <row r="31" spans="1:4">
      <c r="A31" t="s">
        <v>95</v>
      </c>
      <c r="B31" t="s">
        <v>128</v>
      </c>
      <c r="C31">
        <v>2996</v>
      </c>
      <c r="D31" t="s">
        <v>294</v>
      </c>
    </row>
    <row r="32" spans="1:4">
      <c r="A32" t="s">
        <v>97</v>
      </c>
      <c r="B32" t="s">
        <v>128</v>
      </c>
      <c r="C32">
        <v>3500</v>
      </c>
      <c r="D32" t="s">
        <v>291</v>
      </c>
    </row>
    <row r="33" spans="1:4">
      <c r="A33" t="s">
        <v>99</v>
      </c>
      <c r="B33" t="s">
        <v>128</v>
      </c>
      <c r="C33">
        <v>3744</v>
      </c>
      <c r="D33" t="s">
        <v>285</v>
      </c>
    </row>
    <row r="34" spans="1:4">
      <c r="A34" t="s">
        <v>100</v>
      </c>
      <c r="B34" t="s">
        <v>128</v>
      </c>
      <c r="C34">
        <v>9000</v>
      </c>
      <c r="D34" t="s">
        <v>292</v>
      </c>
    </row>
    <row r="35" spans="1:4">
      <c r="A35" t="s">
        <v>127</v>
      </c>
      <c r="B35" t="s">
        <v>128</v>
      </c>
      <c r="C35">
        <v>6912</v>
      </c>
      <c r="D35" t="s">
        <v>288</v>
      </c>
    </row>
    <row r="36" spans="1:4">
      <c r="A36" t="s">
        <v>129</v>
      </c>
      <c r="B36" t="s">
        <v>128</v>
      </c>
      <c r="C36">
        <v>4666</v>
      </c>
      <c r="D36" t="s">
        <v>289</v>
      </c>
    </row>
    <row r="37" spans="1:4">
      <c r="A37" t="s">
        <v>130</v>
      </c>
      <c r="B37" t="s">
        <v>128</v>
      </c>
      <c r="C37">
        <v>4320</v>
      </c>
      <c r="D37" t="s">
        <v>289</v>
      </c>
    </row>
    <row r="38" spans="1:4">
      <c r="A38" t="s">
        <v>132</v>
      </c>
      <c r="B38" t="s">
        <v>128</v>
      </c>
      <c r="C38">
        <v>5645</v>
      </c>
      <c r="D38" t="s">
        <v>290</v>
      </c>
    </row>
    <row r="39" spans="1:4">
      <c r="A39" t="s">
        <v>134</v>
      </c>
      <c r="B39" t="s">
        <v>128</v>
      </c>
      <c r="C39">
        <v>8180</v>
      </c>
      <c r="D39" t="s">
        <v>290</v>
      </c>
    </row>
    <row r="40" spans="1:4">
      <c r="A40" t="s">
        <v>136</v>
      </c>
      <c r="B40" t="s">
        <v>128</v>
      </c>
      <c r="C40">
        <v>5876</v>
      </c>
      <c r="D40" t="s">
        <v>287</v>
      </c>
    </row>
    <row r="41" spans="1:4">
      <c r="A41" t="s">
        <v>138</v>
      </c>
      <c r="B41" t="s">
        <v>128</v>
      </c>
      <c r="C41">
        <v>4493</v>
      </c>
      <c r="D41" t="s">
        <v>287</v>
      </c>
    </row>
    <row r="42" spans="1:4">
      <c r="A42" t="s">
        <v>140</v>
      </c>
      <c r="B42" t="s">
        <v>128</v>
      </c>
      <c r="C42">
        <v>5876</v>
      </c>
      <c r="D42" t="s">
        <v>282</v>
      </c>
    </row>
    <row r="43" spans="1:4">
      <c r="A43" t="s">
        <v>142</v>
      </c>
      <c r="B43" t="s">
        <v>128</v>
      </c>
      <c r="C43">
        <v>7000</v>
      </c>
      <c r="D43" t="s">
        <v>286</v>
      </c>
    </row>
    <row r="44" spans="1:4">
      <c r="A44" t="s">
        <v>145</v>
      </c>
      <c r="B44" t="s">
        <v>128</v>
      </c>
      <c r="C44">
        <v>3456</v>
      </c>
      <c r="D44" t="s">
        <v>281</v>
      </c>
    </row>
    <row r="45" spans="1:4">
      <c r="A45" t="s">
        <v>148</v>
      </c>
      <c r="B45" t="s">
        <v>128</v>
      </c>
      <c r="C45">
        <v>3570</v>
      </c>
      <c r="D45" t="s">
        <v>281</v>
      </c>
    </row>
    <row r="46" spans="1:4">
      <c r="A46" t="s">
        <v>152</v>
      </c>
      <c r="B46" t="s">
        <v>128</v>
      </c>
      <c r="C46">
        <v>5184</v>
      </c>
      <c r="D46" t="s">
        <v>281</v>
      </c>
    </row>
    <row r="47" spans="1:4">
      <c r="A47" t="s">
        <v>154</v>
      </c>
      <c r="B47" t="s">
        <v>128</v>
      </c>
      <c r="C47">
        <v>4378</v>
      </c>
      <c r="D47" t="s">
        <v>279</v>
      </c>
    </row>
    <row r="48" spans="1:4">
      <c r="A48" t="s">
        <v>157</v>
      </c>
      <c r="B48" t="s">
        <v>128</v>
      </c>
      <c r="C48">
        <v>1901</v>
      </c>
      <c r="D48" t="s">
        <v>281</v>
      </c>
    </row>
    <row r="49" spans="1:4">
      <c r="A49" t="s">
        <v>160</v>
      </c>
      <c r="B49" t="s">
        <v>128</v>
      </c>
      <c r="C49">
        <v>1325</v>
      </c>
      <c r="D49" t="s">
        <v>284</v>
      </c>
    </row>
    <row r="50" spans="1:4">
      <c r="A50" t="s">
        <v>163</v>
      </c>
      <c r="B50" t="s">
        <v>128</v>
      </c>
      <c r="C50">
        <v>1800</v>
      </c>
      <c r="D50" t="s">
        <v>284</v>
      </c>
    </row>
    <row r="51" spans="1:4">
      <c r="A51" t="s">
        <v>165</v>
      </c>
      <c r="B51" t="s">
        <v>128</v>
      </c>
      <c r="C51">
        <v>4100</v>
      </c>
      <c r="D51" t="s">
        <v>281</v>
      </c>
    </row>
    <row r="52" spans="1:4">
      <c r="A52" t="s">
        <v>169</v>
      </c>
      <c r="B52" t="s">
        <v>128</v>
      </c>
      <c r="C52">
        <v>1498</v>
      </c>
      <c r="D52" t="s">
        <v>278</v>
      </c>
    </row>
    <row r="53" spans="1:4">
      <c r="A53" t="s">
        <v>272</v>
      </c>
      <c r="B53" t="s">
        <v>128</v>
      </c>
      <c r="C53">
        <v>5000</v>
      </c>
      <c r="D53" t="s">
        <v>284</v>
      </c>
    </row>
    <row r="54" spans="1:4">
      <c r="A54" t="s">
        <v>173</v>
      </c>
      <c r="B54" t="s">
        <v>128</v>
      </c>
      <c r="C54">
        <v>6509</v>
      </c>
      <c r="D54" t="s">
        <v>297</v>
      </c>
    </row>
    <row r="55" spans="1:4">
      <c r="A55" t="s">
        <v>174</v>
      </c>
      <c r="B55" t="s">
        <v>128</v>
      </c>
      <c r="C55">
        <v>3456</v>
      </c>
      <c r="D55" t="s">
        <v>284</v>
      </c>
    </row>
    <row r="56" spans="1:4">
      <c r="A56" t="s">
        <v>176</v>
      </c>
      <c r="B56" t="s">
        <v>128</v>
      </c>
      <c r="C56">
        <v>1844</v>
      </c>
      <c r="D56" t="s">
        <v>281</v>
      </c>
    </row>
    <row r="57" spans="1:4">
      <c r="A57" t="s">
        <v>177</v>
      </c>
      <c r="B57" t="s">
        <v>128</v>
      </c>
      <c r="C57">
        <v>3456</v>
      </c>
      <c r="D57" t="s">
        <v>284</v>
      </c>
    </row>
    <row r="58" spans="1:4">
      <c r="A58" t="s">
        <v>178</v>
      </c>
      <c r="B58" t="s">
        <v>128</v>
      </c>
      <c r="C58">
        <v>3226</v>
      </c>
      <c r="D58" t="s">
        <v>284</v>
      </c>
    </row>
    <row r="59" spans="1:4">
      <c r="A59" t="s">
        <v>182</v>
      </c>
      <c r="B59" t="s">
        <v>128</v>
      </c>
      <c r="C59">
        <v>3629</v>
      </c>
      <c r="D59" t="s">
        <v>278</v>
      </c>
    </row>
    <row r="60" spans="1:4">
      <c r="A60" t="s">
        <v>183</v>
      </c>
      <c r="B60" t="s">
        <v>128</v>
      </c>
      <c r="C60">
        <v>4400</v>
      </c>
      <c r="D60" t="s">
        <v>279</v>
      </c>
    </row>
    <row r="61" spans="1:4">
      <c r="A61" t="s">
        <v>184</v>
      </c>
      <c r="B61" t="s">
        <v>128</v>
      </c>
      <c r="C61">
        <v>3284</v>
      </c>
      <c r="D61" t="s">
        <v>281</v>
      </c>
    </row>
    <row r="62" spans="1:4">
      <c r="A62" t="s">
        <v>185</v>
      </c>
      <c r="B62" t="s">
        <v>128</v>
      </c>
      <c r="C62">
        <v>5876</v>
      </c>
      <c r="D62" t="s">
        <v>284</v>
      </c>
    </row>
    <row r="63" spans="1:4">
      <c r="A63" t="s">
        <v>186</v>
      </c>
      <c r="B63" t="s">
        <v>128</v>
      </c>
      <c r="C63">
        <v>4724</v>
      </c>
      <c r="D63" t="s">
        <v>281</v>
      </c>
    </row>
    <row r="64" spans="1:4">
      <c r="A64" t="s">
        <v>188</v>
      </c>
      <c r="B64" t="s">
        <v>128</v>
      </c>
      <c r="C64">
        <v>5760</v>
      </c>
      <c r="D64" t="s">
        <v>295</v>
      </c>
    </row>
    <row r="65" spans="1:4">
      <c r="A65" t="s">
        <v>190</v>
      </c>
      <c r="B65" t="s">
        <v>128</v>
      </c>
      <c r="C65">
        <v>7085</v>
      </c>
      <c r="D65" t="s">
        <v>278</v>
      </c>
    </row>
    <row r="66" spans="1:4">
      <c r="A66" t="s">
        <v>258</v>
      </c>
      <c r="B66" t="s">
        <v>128</v>
      </c>
      <c r="C66">
        <v>4050</v>
      </c>
      <c r="D66" t="s">
        <v>281</v>
      </c>
    </row>
    <row r="67" spans="1:4">
      <c r="A67" t="s">
        <v>6</v>
      </c>
      <c r="B67" t="s">
        <v>8</v>
      </c>
      <c r="C67">
        <v>5760</v>
      </c>
      <c r="D67" t="s">
        <v>274</v>
      </c>
    </row>
    <row r="68" spans="1:4">
      <c r="A68" t="s">
        <v>9</v>
      </c>
      <c r="B68" t="s">
        <v>8</v>
      </c>
      <c r="C68">
        <v>6700</v>
      </c>
      <c r="D68" t="s">
        <v>274</v>
      </c>
    </row>
    <row r="69" spans="1:4">
      <c r="A69" t="s">
        <v>11</v>
      </c>
      <c r="B69" t="s">
        <v>8</v>
      </c>
      <c r="C69">
        <v>5976</v>
      </c>
      <c r="D69" t="s">
        <v>274</v>
      </c>
    </row>
    <row r="70" spans="1:4">
      <c r="A70" t="s">
        <v>12</v>
      </c>
      <c r="B70" t="s">
        <v>8</v>
      </c>
      <c r="C70">
        <v>6480</v>
      </c>
      <c r="D70" t="s">
        <v>274</v>
      </c>
    </row>
    <row r="71" spans="1:4">
      <c r="A71" t="s">
        <v>13</v>
      </c>
      <c r="B71" t="s">
        <v>8</v>
      </c>
      <c r="C71">
        <v>4680</v>
      </c>
      <c r="D71" t="s">
        <v>274</v>
      </c>
    </row>
    <row r="72" spans="1:4">
      <c r="A72" t="s">
        <v>14</v>
      </c>
      <c r="B72" t="s">
        <v>8</v>
      </c>
      <c r="C72">
        <v>6840</v>
      </c>
      <c r="D72" t="s">
        <v>274</v>
      </c>
    </row>
    <row r="73" spans="1:4">
      <c r="A73" t="s">
        <v>15</v>
      </c>
      <c r="B73" t="s">
        <v>8</v>
      </c>
      <c r="C73">
        <v>2000</v>
      </c>
      <c r="D73" t="s">
        <v>274</v>
      </c>
    </row>
    <row r="74" spans="1:4">
      <c r="A74" t="s">
        <v>17</v>
      </c>
      <c r="B74" t="s">
        <v>8</v>
      </c>
      <c r="C74">
        <v>8756</v>
      </c>
      <c r="D74" t="s">
        <v>274</v>
      </c>
    </row>
    <row r="75" spans="1:4">
      <c r="A75" t="s">
        <v>19</v>
      </c>
      <c r="B75" t="s">
        <v>8</v>
      </c>
      <c r="C75">
        <v>3456</v>
      </c>
      <c r="D75" t="s">
        <v>274</v>
      </c>
    </row>
    <row r="76" spans="1:4">
      <c r="A76" t="s">
        <v>20</v>
      </c>
      <c r="B76" t="s">
        <v>8</v>
      </c>
      <c r="C76">
        <v>5876</v>
      </c>
      <c r="D76" t="s">
        <v>274</v>
      </c>
    </row>
    <row r="77" spans="1:4">
      <c r="A77" t="s">
        <v>21</v>
      </c>
      <c r="B77" t="s">
        <v>8</v>
      </c>
      <c r="C77">
        <v>5760</v>
      </c>
      <c r="D77" t="s">
        <v>274</v>
      </c>
    </row>
    <row r="78" spans="1:4">
      <c r="A78" t="s">
        <v>22</v>
      </c>
      <c r="B78" t="s">
        <v>8</v>
      </c>
      <c r="C78">
        <v>5200</v>
      </c>
      <c r="D78" t="s">
        <v>274</v>
      </c>
    </row>
    <row r="79" spans="1:4">
      <c r="A79" t="s">
        <v>24</v>
      </c>
      <c r="B79" t="s">
        <v>8</v>
      </c>
      <c r="C79">
        <v>5760</v>
      </c>
      <c r="D79" t="s">
        <v>274</v>
      </c>
    </row>
    <row r="80" spans="1:4">
      <c r="A80" t="s">
        <v>260</v>
      </c>
      <c r="B80" t="s">
        <v>8</v>
      </c>
      <c r="C80">
        <v>8756</v>
      </c>
      <c r="D80" t="s">
        <v>274</v>
      </c>
    </row>
    <row r="81" spans="1:4">
      <c r="A81" t="s">
        <v>26</v>
      </c>
      <c r="B81" t="s">
        <v>8</v>
      </c>
      <c r="C81">
        <v>7000</v>
      </c>
      <c r="D81" t="s">
        <v>274</v>
      </c>
    </row>
    <row r="82" spans="1:4">
      <c r="A82" t="s">
        <v>27</v>
      </c>
      <c r="B82" t="s">
        <v>8</v>
      </c>
      <c r="C82">
        <v>7000</v>
      </c>
      <c r="D82" t="s">
        <v>274</v>
      </c>
    </row>
    <row r="83" spans="1:4">
      <c r="A83" t="s">
        <v>29</v>
      </c>
      <c r="B83" t="s">
        <v>8</v>
      </c>
      <c r="C83">
        <v>6400</v>
      </c>
      <c r="D83" t="s">
        <v>274</v>
      </c>
    </row>
    <row r="84" spans="1:4">
      <c r="A84" t="s">
        <v>31</v>
      </c>
      <c r="B84" t="s">
        <v>8</v>
      </c>
      <c r="C84">
        <v>6400</v>
      </c>
      <c r="D84" t="s">
        <v>274</v>
      </c>
    </row>
    <row r="85" spans="1:4">
      <c r="A85" t="s">
        <v>32</v>
      </c>
      <c r="B85" t="s">
        <v>8</v>
      </c>
      <c r="C85">
        <v>5100</v>
      </c>
      <c r="D85" t="s">
        <v>274</v>
      </c>
    </row>
    <row r="86" spans="1:4">
      <c r="A86" t="s">
        <v>33</v>
      </c>
      <c r="B86" t="s">
        <v>8</v>
      </c>
      <c r="C86">
        <v>5300</v>
      </c>
      <c r="D86" t="s">
        <v>274</v>
      </c>
    </row>
    <row r="87" spans="1:4">
      <c r="A87" t="s">
        <v>34</v>
      </c>
      <c r="B87" t="s">
        <v>8</v>
      </c>
      <c r="C87">
        <v>5300</v>
      </c>
      <c r="D87" t="s">
        <v>274</v>
      </c>
    </row>
    <row r="88" spans="1:4">
      <c r="A88" t="s">
        <v>36</v>
      </c>
      <c r="B88" t="s">
        <v>8</v>
      </c>
      <c r="C88">
        <v>5180</v>
      </c>
      <c r="D88" t="s">
        <v>274</v>
      </c>
    </row>
    <row r="89" spans="1:4">
      <c r="A89" t="s">
        <v>38</v>
      </c>
      <c r="B89" t="s">
        <v>8</v>
      </c>
      <c r="C89">
        <v>5300</v>
      </c>
      <c r="D89" t="s">
        <v>274</v>
      </c>
    </row>
    <row r="90" spans="1:4">
      <c r="A90" t="s">
        <v>39</v>
      </c>
      <c r="B90" t="s">
        <v>8</v>
      </c>
      <c r="C90">
        <v>4700</v>
      </c>
      <c r="D90" t="s">
        <v>274</v>
      </c>
    </row>
    <row r="91" spans="1:4">
      <c r="A91" t="s">
        <v>41</v>
      </c>
      <c r="B91" t="s">
        <v>8</v>
      </c>
      <c r="C91">
        <v>4140</v>
      </c>
      <c r="D91" t="s">
        <v>274</v>
      </c>
    </row>
    <row r="92" spans="1:4">
      <c r="A92" t="s">
        <v>43</v>
      </c>
      <c r="B92" t="s">
        <v>8</v>
      </c>
      <c r="C92">
        <v>5800</v>
      </c>
      <c r="D92" t="s">
        <v>274</v>
      </c>
    </row>
    <row r="93" spans="1:4">
      <c r="A93" t="s">
        <v>45</v>
      </c>
      <c r="B93" t="s">
        <v>8</v>
      </c>
      <c r="C93">
        <v>5300</v>
      </c>
      <c r="D93" t="s">
        <v>274</v>
      </c>
    </row>
    <row r="94" spans="1:4">
      <c r="A94" t="s">
        <v>46</v>
      </c>
      <c r="B94" t="s">
        <v>8</v>
      </c>
      <c r="C94">
        <v>1600</v>
      </c>
      <c r="D94" t="s">
        <v>274</v>
      </c>
    </row>
    <row r="95" spans="1:4">
      <c r="A95" t="s">
        <v>48</v>
      </c>
      <c r="B95" t="s">
        <v>8</v>
      </c>
      <c r="C95">
        <v>1700</v>
      </c>
      <c r="D95" t="s">
        <v>274</v>
      </c>
    </row>
    <row r="96" spans="1:4">
      <c r="A96" t="s">
        <v>49</v>
      </c>
      <c r="B96" t="s">
        <v>8</v>
      </c>
      <c r="C96">
        <v>5760</v>
      </c>
      <c r="D96" t="s">
        <v>274</v>
      </c>
    </row>
    <row r="97" spans="1:4">
      <c r="A97" t="s">
        <v>50</v>
      </c>
      <c r="B97" t="s">
        <v>8</v>
      </c>
      <c r="C97">
        <v>2000</v>
      </c>
      <c r="D97" t="s">
        <v>274</v>
      </c>
    </row>
    <row r="98" spans="1:4">
      <c r="A98" t="s">
        <v>51</v>
      </c>
      <c r="B98" t="s">
        <v>8</v>
      </c>
      <c r="C98">
        <v>5760</v>
      </c>
      <c r="D98" t="s">
        <v>274</v>
      </c>
    </row>
    <row r="99" spans="1:4">
      <c r="A99" t="s">
        <v>53</v>
      </c>
      <c r="B99" t="s">
        <v>8</v>
      </c>
      <c r="C99">
        <v>2477</v>
      </c>
      <c r="D99" t="s">
        <v>274</v>
      </c>
    </row>
    <row r="100" spans="1:4">
      <c r="A100" t="s">
        <v>55</v>
      </c>
      <c r="B100" t="s">
        <v>8</v>
      </c>
      <c r="C100">
        <v>5184</v>
      </c>
      <c r="D100" t="s">
        <v>274</v>
      </c>
    </row>
    <row r="101" spans="1:4">
      <c r="A101" t="s">
        <v>57</v>
      </c>
      <c r="B101" t="s">
        <v>8</v>
      </c>
      <c r="C101">
        <v>5357</v>
      </c>
      <c r="D101" t="s">
        <v>274</v>
      </c>
    </row>
    <row r="102" spans="1:4">
      <c r="A102" t="s">
        <v>59</v>
      </c>
      <c r="B102" t="s">
        <v>8</v>
      </c>
      <c r="C102">
        <v>3111</v>
      </c>
      <c r="D102" t="s">
        <v>274</v>
      </c>
    </row>
    <row r="103" spans="1:4">
      <c r="A103" t="s">
        <v>60</v>
      </c>
      <c r="B103" t="s">
        <v>8</v>
      </c>
      <c r="C103">
        <v>5876</v>
      </c>
      <c r="D103" t="s">
        <v>274</v>
      </c>
    </row>
    <row r="104" spans="1:4">
      <c r="A104" t="s">
        <v>62</v>
      </c>
      <c r="B104" t="s">
        <v>8</v>
      </c>
      <c r="C104">
        <v>4724</v>
      </c>
      <c r="D104" t="s">
        <v>274</v>
      </c>
    </row>
    <row r="105" spans="1:4">
      <c r="A105" t="s">
        <v>64</v>
      </c>
      <c r="B105" t="s">
        <v>8</v>
      </c>
      <c r="C105">
        <v>5300</v>
      </c>
      <c r="D105" t="s">
        <v>274</v>
      </c>
    </row>
    <row r="106" spans="1:4">
      <c r="A106" t="s">
        <v>66</v>
      </c>
      <c r="B106" t="s">
        <v>8</v>
      </c>
      <c r="C106">
        <v>5300</v>
      </c>
      <c r="D106" t="s">
        <v>274</v>
      </c>
    </row>
    <row r="107" spans="1:4">
      <c r="A107" t="s">
        <v>68</v>
      </c>
      <c r="B107" t="s">
        <v>8</v>
      </c>
      <c r="C107">
        <v>8756</v>
      </c>
      <c r="D107" t="s">
        <v>274</v>
      </c>
    </row>
    <row r="108" spans="1:4">
      <c r="A108" t="s">
        <v>69</v>
      </c>
      <c r="B108" t="s">
        <v>8</v>
      </c>
      <c r="C108">
        <v>7028</v>
      </c>
      <c r="D108" t="s">
        <v>274</v>
      </c>
    </row>
    <row r="109" spans="1:4">
      <c r="A109" t="s">
        <v>70</v>
      </c>
      <c r="B109" t="s">
        <v>8</v>
      </c>
      <c r="C109">
        <v>7028</v>
      </c>
      <c r="D109" t="s">
        <v>274</v>
      </c>
    </row>
    <row r="110" spans="1:4">
      <c r="A110" t="s">
        <v>72</v>
      </c>
      <c r="B110" t="s">
        <v>8</v>
      </c>
      <c r="C110">
        <v>7028</v>
      </c>
      <c r="D110" t="s">
        <v>274</v>
      </c>
    </row>
    <row r="111" spans="1:4">
      <c r="A111" t="s">
        <v>74</v>
      </c>
      <c r="B111" t="s">
        <v>8</v>
      </c>
      <c r="C111">
        <v>6452</v>
      </c>
      <c r="D111" t="s">
        <v>274</v>
      </c>
    </row>
    <row r="112" spans="1:4">
      <c r="A112" t="s">
        <v>76</v>
      </c>
      <c r="B112" t="s">
        <v>8</v>
      </c>
      <c r="C112">
        <v>6452</v>
      </c>
      <c r="D112" t="s">
        <v>274</v>
      </c>
    </row>
    <row r="113" spans="1:4">
      <c r="A113" t="s">
        <v>77</v>
      </c>
      <c r="B113" t="s">
        <v>8</v>
      </c>
      <c r="C113">
        <v>6570</v>
      </c>
      <c r="D113" t="s">
        <v>274</v>
      </c>
    </row>
    <row r="114" spans="1:4">
      <c r="A114" t="s">
        <v>78</v>
      </c>
      <c r="B114" t="s">
        <v>8</v>
      </c>
      <c r="C114">
        <v>5472</v>
      </c>
      <c r="D114" t="s">
        <v>274</v>
      </c>
    </row>
    <row r="115" spans="1:4">
      <c r="A115" t="s">
        <v>79</v>
      </c>
      <c r="B115" t="s">
        <v>8</v>
      </c>
      <c r="C115">
        <v>8900</v>
      </c>
      <c r="D115" t="s">
        <v>274</v>
      </c>
    </row>
    <row r="116" spans="1:4">
      <c r="A116" t="s">
        <v>80</v>
      </c>
      <c r="B116" t="s">
        <v>8</v>
      </c>
      <c r="C116">
        <v>8640</v>
      </c>
      <c r="D116" t="s">
        <v>274</v>
      </c>
    </row>
    <row r="117" spans="1:4">
      <c r="A117" t="s">
        <v>101</v>
      </c>
      <c r="B117" t="s">
        <v>8</v>
      </c>
      <c r="C117">
        <v>15000</v>
      </c>
      <c r="D117" t="s">
        <v>274</v>
      </c>
    </row>
    <row r="118" spans="1:4">
      <c r="A118" t="s">
        <v>113</v>
      </c>
      <c r="B118" t="s">
        <v>114</v>
      </c>
      <c r="C118">
        <v>2800</v>
      </c>
      <c r="D118" t="s">
        <v>303</v>
      </c>
    </row>
    <row r="119" spans="1:4">
      <c r="A119" t="s">
        <v>116</v>
      </c>
      <c r="B119" t="s">
        <v>114</v>
      </c>
      <c r="C119">
        <v>2000</v>
      </c>
      <c r="D119" t="s">
        <v>301</v>
      </c>
    </row>
    <row r="120" spans="1:4">
      <c r="A120" t="s">
        <v>118</v>
      </c>
      <c r="B120" t="s">
        <v>114</v>
      </c>
      <c r="C120">
        <v>1700</v>
      </c>
      <c r="D120" t="s">
        <v>301</v>
      </c>
    </row>
    <row r="121" spans="1:4">
      <c r="A121" t="s">
        <v>120</v>
      </c>
      <c r="B121" t="s">
        <v>114</v>
      </c>
      <c r="C121">
        <v>1584</v>
      </c>
      <c r="D121" t="s">
        <v>303</v>
      </c>
    </row>
    <row r="122" spans="1:4">
      <c r="A122" t="s">
        <v>121</v>
      </c>
      <c r="B122" t="s">
        <v>114</v>
      </c>
      <c r="C122">
        <v>1584</v>
      </c>
      <c r="D122" t="s">
        <v>303</v>
      </c>
    </row>
    <row r="123" spans="1:4">
      <c r="A123" t="s">
        <v>123</v>
      </c>
      <c r="B123" t="s">
        <v>114</v>
      </c>
      <c r="C123">
        <v>6700</v>
      </c>
      <c r="D123" t="s">
        <v>304</v>
      </c>
    </row>
    <row r="124" spans="1:4">
      <c r="A124" t="s">
        <v>125</v>
      </c>
      <c r="B124" t="s">
        <v>114</v>
      </c>
      <c r="C124">
        <v>3500</v>
      </c>
      <c r="D124" t="s">
        <v>302</v>
      </c>
    </row>
    <row r="125" spans="1:4">
      <c r="A125" t="s">
        <v>194</v>
      </c>
      <c r="B125" t="s">
        <v>195</v>
      </c>
      <c r="C125">
        <v>7000</v>
      </c>
      <c r="D125" t="s">
        <v>276</v>
      </c>
    </row>
    <row r="126" spans="1:4">
      <c r="A126" t="s">
        <v>197</v>
      </c>
      <c r="B126" t="s">
        <v>195</v>
      </c>
      <c r="C126">
        <v>9200</v>
      </c>
      <c r="D126" t="s">
        <v>276</v>
      </c>
    </row>
    <row r="127" spans="1:4">
      <c r="A127" t="s">
        <v>199</v>
      </c>
      <c r="B127" t="s">
        <v>195</v>
      </c>
      <c r="C127">
        <v>2880</v>
      </c>
      <c r="D127" t="s">
        <v>276</v>
      </c>
    </row>
    <row r="128" spans="1:4">
      <c r="A128" t="s">
        <v>201</v>
      </c>
      <c r="B128" t="s">
        <v>195</v>
      </c>
      <c r="C128">
        <v>6336</v>
      </c>
      <c r="D128" t="s">
        <v>276</v>
      </c>
    </row>
    <row r="129" spans="1:4">
      <c r="A129" t="s">
        <v>203</v>
      </c>
      <c r="B129" t="s">
        <v>195</v>
      </c>
      <c r="C129">
        <v>4896</v>
      </c>
      <c r="D129" t="s">
        <v>275</v>
      </c>
    </row>
    <row r="130" spans="1:4">
      <c r="A130" t="s">
        <v>205</v>
      </c>
      <c r="B130" t="s">
        <v>195</v>
      </c>
      <c r="C130">
        <v>8640</v>
      </c>
      <c r="D130" t="s">
        <v>276</v>
      </c>
    </row>
    <row r="131" spans="1:4">
      <c r="A131" t="s">
        <v>207</v>
      </c>
      <c r="B131" t="s">
        <v>195</v>
      </c>
      <c r="C131">
        <v>3744</v>
      </c>
      <c r="D131" t="s">
        <v>276</v>
      </c>
    </row>
    <row r="132" spans="1:4">
      <c r="A132" t="s">
        <v>209</v>
      </c>
      <c r="B132" t="s">
        <v>195</v>
      </c>
      <c r="C132">
        <v>5040</v>
      </c>
      <c r="D132" t="s">
        <v>276</v>
      </c>
    </row>
    <row r="133" spans="1:4">
      <c r="A133" t="s">
        <v>211</v>
      </c>
      <c r="B133" t="s">
        <v>195</v>
      </c>
      <c r="C133">
        <v>4205</v>
      </c>
      <c r="D133" t="s">
        <v>276</v>
      </c>
    </row>
    <row r="134" spans="1:4">
      <c r="A134" t="s">
        <v>213</v>
      </c>
      <c r="B134" t="s">
        <v>195</v>
      </c>
      <c r="C134">
        <v>5760</v>
      </c>
      <c r="D134" t="s">
        <v>276</v>
      </c>
    </row>
    <row r="135" spans="1:4">
      <c r="A135" t="s">
        <v>215</v>
      </c>
      <c r="B135" t="s">
        <v>195</v>
      </c>
      <c r="C135">
        <v>9504</v>
      </c>
      <c r="D135" t="s">
        <v>276</v>
      </c>
    </row>
    <row r="136" spans="1:4">
      <c r="A136" t="s">
        <v>217</v>
      </c>
      <c r="B136" t="s">
        <v>195</v>
      </c>
      <c r="C136">
        <v>4320</v>
      </c>
      <c r="D136" t="s">
        <v>277</v>
      </c>
    </row>
    <row r="137" spans="1:4">
      <c r="A137" t="s">
        <v>219</v>
      </c>
      <c r="B137" t="s">
        <v>195</v>
      </c>
      <c r="C137">
        <v>5700</v>
      </c>
      <c r="D137" t="s">
        <v>276</v>
      </c>
    </row>
    <row r="138" spans="1:4">
      <c r="A138" t="s">
        <v>221</v>
      </c>
      <c r="B138" t="s">
        <v>195</v>
      </c>
      <c r="C138">
        <v>2996</v>
      </c>
      <c r="D138" t="s">
        <v>276</v>
      </c>
    </row>
    <row r="139" spans="1:4">
      <c r="A139" t="s">
        <v>273</v>
      </c>
      <c r="B139" t="s">
        <v>195</v>
      </c>
      <c r="C139">
        <v>2500</v>
      </c>
      <c r="D139" t="s">
        <v>276</v>
      </c>
    </row>
    <row r="140" spans="1:4">
      <c r="A140" t="s">
        <v>225</v>
      </c>
      <c r="B140" t="s">
        <v>195</v>
      </c>
      <c r="C140">
        <v>5400</v>
      </c>
      <c r="D140" t="s">
        <v>277</v>
      </c>
    </row>
    <row r="141" spans="1:4">
      <c r="A141" t="s">
        <v>227</v>
      </c>
      <c r="B141" t="s">
        <v>195</v>
      </c>
      <c r="C141">
        <v>2300</v>
      </c>
      <c r="D141" t="s">
        <v>277</v>
      </c>
    </row>
    <row r="142" spans="1:4">
      <c r="A142" t="s">
        <v>229</v>
      </c>
      <c r="B142" t="s">
        <v>195</v>
      </c>
      <c r="C142">
        <v>4680</v>
      </c>
      <c r="D142" t="s">
        <v>277</v>
      </c>
    </row>
    <row r="143" spans="1:4">
      <c r="A143" t="s">
        <v>231</v>
      </c>
      <c r="B143" t="s">
        <v>195</v>
      </c>
      <c r="C143">
        <v>3000</v>
      </c>
      <c r="D143" t="s">
        <v>277</v>
      </c>
    </row>
    <row r="144" spans="1:4">
      <c r="A144" t="s">
        <v>233</v>
      </c>
      <c r="B144" t="s">
        <v>195</v>
      </c>
      <c r="C144">
        <v>4400</v>
      </c>
      <c r="D144" t="s">
        <v>277</v>
      </c>
    </row>
    <row r="145" spans="1:4">
      <c r="A145" t="s">
        <v>235</v>
      </c>
      <c r="B145" t="s">
        <v>195</v>
      </c>
      <c r="C145">
        <v>5200</v>
      </c>
      <c r="D145" t="s">
        <v>276</v>
      </c>
    </row>
    <row r="146" spans="1:4">
      <c r="A146" t="s">
        <v>237</v>
      </c>
      <c r="B146" t="s">
        <v>195</v>
      </c>
      <c r="C146">
        <v>3000</v>
      </c>
      <c r="D146" t="s">
        <v>276</v>
      </c>
    </row>
    <row r="147" spans="1:4">
      <c r="A147" t="s">
        <v>238</v>
      </c>
      <c r="B147" t="s">
        <v>195</v>
      </c>
      <c r="C147">
        <v>6696</v>
      </c>
      <c r="D147" t="s">
        <v>276</v>
      </c>
    </row>
    <row r="148" spans="1:4">
      <c r="A148" t="s">
        <v>239</v>
      </c>
      <c r="B148" t="s">
        <v>195</v>
      </c>
      <c r="C148">
        <v>7344</v>
      </c>
      <c r="D148" t="s">
        <v>276</v>
      </c>
    </row>
    <row r="149" spans="1:4">
      <c r="A149" t="s">
        <v>241</v>
      </c>
      <c r="B149" t="s">
        <v>195</v>
      </c>
      <c r="C149">
        <v>8064</v>
      </c>
      <c r="D149" t="s">
        <v>275</v>
      </c>
    </row>
    <row r="150" spans="1:4">
      <c r="A150" t="s">
        <v>242</v>
      </c>
      <c r="B150" t="s">
        <v>195</v>
      </c>
      <c r="C150">
        <v>9200</v>
      </c>
      <c r="D150" t="s">
        <v>276</v>
      </c>
    </row>
    <row r="151" spans="1:4">
      <c r="A151" t="s">
        <v>243</v>
      </c>
      <c r="B151" t="s">
        <v>195</v>
      </c>
      <c r="C151">
        <v>8000</v>
      </c>
      <c r="D151" t="s">
        <v>276</v>
      </c>
    </row>
    <row r="152" spans="1:4">
      <c r="A152" t="s">
        <v>245</v>
      </c>
      <c r="B152" t="s">
        <v>195</v>
      </c>
      <c r="C152">
        <v>4896</v>
      </c>
      <c r="D152" t="s">
        <v>276</v>
      </c>
    </row>
    <row r="153" spans="1:4">
      <c r="A153" t="s">
        <v>247</v>
      </c>
      <c r="B153" t="s">
        <v>195</v>
      </c>
      <c r="C153">
        <v>4300</v>
      </c>
      <c r="D153" t="s">
        <v>276</v>
      </c>
    </row>
    <row r="154" spans="1:4">
      <c r="A154" t="s">
        <v>249</v>
      </c>
      <c r="B154" t="s">
        <v>195</v>
      </c>
      <c r="C154">
        <v>10000</v>
      </c>
      <c r="D154" t="s">
        <v>276</v>
      </c>
    </row>
    <row r="155" spans="1:4">
      <c r="A155" t="s">
        <v>251</v>
      </c>
      <c r="B155" t="s">
        <v>195</v>
      </c>
      <c r="C155">
        <v>10000</v>
      </c>
      <c r="D155" t="s">
        <v>276</v>
      </c>
    </row>
    <row r="156" spans="1:4">
      <c r="A156" t="s">
        <v>253</v>
      </c>
      <c r="B156" t="s">
        <v>195</v>
      </c>
      <c r="C156">
        <v>10800</v>
      </c>
      <c r="D156" t="s">
        <v>276</v>
      </c>
    </row>
    <row r="157" spans="1:4">
      <c r="A157" t="s">
        <v>255</v>
      </c>
      <c r="B157" t="s">
        <v>195</v>
      </c>
      <c r="C157">
        <v>6600</v>
      </c>
      <c r="D157" t="s">
        <v>276</v>
      </c>
    </row>
    <row r="158" spans="1:4">
      <c r="A158" t="s">
        <v>103</v>
      </c>
      <c r="B158" t="s">
        <v>104</v>
      </c>
      <c r="C158">
        <v>4300</v>
      </c>
      <c r="D158" t="s">
        <v>299</v>
      </c>
    </row>
    <row r="159" spans="1:4">
      <c r="A159" t="s">
        <v>106</v>
      </c>
      <c r="B159" t="s">
        <v>104</v>
      </c>
      <c r="C159">
        <v>7600</v>
      </c>
      <c r="D159" t="s">
        <v>298</v>
      </c>
    </row>
    <row r="160" spans="1:4">
      <c r="A160" t="s">
        <v>108</v>
      </c>
      <c r="B160" t="s">
        <v>104</v>
      </c>
      <c r="C160">
        <v>9200</v>
      </c>
      <c r="D160" t="s">
        <v>298</v>
      </c>
    </row>
    <row r="161" spans="1:4">
      <c r="A161" t="s">
        <v>110</v>
      </c>
      <c r="B161" t="s">
        <v>104</v>
      </c>
      <c r="C161">
        <v>7200</v>
      </c>
      <c r="D161" t="s">
        <v>299</v>
      </c>
    </row>
    <row r="162" spans="1:4">
      <c r="A162" t="s">
        <v>111</v>
      </c>
      <c r="B162" t="s">
        <v>104</v>
      </c>
      <c r="C162">
        <v>5500</v>
      </c>
      <c r="D162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B47D-4E1E-4009-AB2D-A3AF1847F351}">
  <dimension ref="A1:C33"/>
  <sheetViews>
    <sheetView tabSelected="1" workbookViewId="0">
      <selection activeCell="C4" sqref="C4"/>
    </sheetView>
  </sheetViews>
  <sheetFormatPr baseColWidth="10" defaultRowHeight="14.4"/>
  <cols>
    <col min="2" max="2" width="148.21875" bestFit="1" customWidth="1"/>
  </cols>
  <sheetData>
    <row r="1" spans="1:3">
      <c r="A1" s="25" t="s">
        <v>307</v>
      </c>
      <c r="B1" s="25" t="s">
        <v>306</v>
      </c>
      <c r="C1" s="28" t="s">
        <v>271</v>
      </c>
    </row>
    <row r="2" spans="1:3">
      <c r="A2" s="4" t="s">
        <v>8</v>
      </c>
      <c r="B2" s="27" t="s">
        <v>274</v>
      </c>
      <c r="C2" s="24">
        <v>296395</v>
      </c>
    </row>
    <row r="3" spans="1:3">
      <c r="A3" s="4" t="s">
        <v>195</v>
      </c>
      <c r="B3" s="27" t="s">
        <v>275</v>
      </c>
      <c r="C3" s="24">
        <v>12960</v>
      </c>
    </row>
    <row r="4" spans="1:3">
      <c r="A4" s="4" t="s">
        <v>195</v>
      </c>
      <c r="B4" s="27" t="s">
        <v>276</v>
      </c>
      <c r="C4" s="24">
        <v>159541</v>
      </c>
    </row>
    <row r="5" spans="1:3">
      <c r="A5" s="4" t="s">
        <v>195</v>
      </c>
      <c r="B5" s="27" t="s">
        <v>277</v>
      </c>
      <c r="C5" s="24">
        <v>24100</v>
      </c>
    </row>
    <row r="6" spans="1:3">
      <c r="A6" s="4" t="s">
        <v>128</v>
      </c>
      <c r="B6" s="27" t="s">
        <v>278</v>
      </c>
      <c r="C6" s="24">
        <v>12212</v>
      </c>
    </row>
    <row r="7" spans="1:3">
      <c r="A7" s="4" t="s">
        <v>128</v>
      </c>
      <c r="B7" s="27" t="s">
        <v>279</v>
      </c>
      <c r="C7" s="24">
        <v>8778</v>
      </c>
    </row>
    <row r="8" spans="1:3">
      <c r="A8" s="4" t="s">
        <v>128</v>
      </c>
      <c r="B8" s="27" t="s">
        <v>280</v>
      </c>
      <c r="C8" s="24">
        <v>4551</v>
      </c>
    </row>
    <row r="9" spans="1:3">
      <c r="A9" s="4" t="s">
        <v>128</v>
      </c>
      <c r="B9" s="27" t="s">
        <v>281</v>
      </c>
      <c r="C9" s="24">
        <v>47416</v>
      </c>
    </row>
    <row r="10" spans="1:3">
      <c r="A10" s="4" t="s">
        <v>128</v>
      </c>
      <c r="B10" s="27" t="s">
        <v>282</v>
      </c>
      <c r="C10" s="24">
        <v>5876</v>
      </c>
    </row>
    <row r="11" spans="1:3">
      <c r="A11" s="4" t="s">
        <v>128</v>
      </c>
      <c r="B11" s="27" t="s">
        <v>283</v>
      </c>
      <c r="C11" s="24">
        <v>4600</v>
      </c>
    </row>
    <row r="12" spans="1:3">
      <c r="A12" s="4" t="s">
        <v>128</v>
      </c>
      <c r="B12" s="27" t="s">
        <v>284</v>
      </c>
      <c r="C12" s="24">
        <v>60717</v>
      </c>
    </row>
    <row r="13" spans="1:3">
      <c r="A13" s="4" t="s">
        <v>128</v>
      </c>
      <c r="B13" s="27" t="s">
        <v>285</v>
      </c>
      <c r="C13" s="24">
        <v>7944</v>
      </c>
    </row>
    <row r="14" spans="1:3">
      <c r="A14" s="4" t="s">
        <v>128</v>
      </c>
      <c r="B14" s="27" t="s">
        <v>286</v>
      </c>
      <c r="C14" s="24">
        <v>7000</v>
      </c>
    </row>
    <row r="15" spans="1:3">
      <c r="A15" s="4" t="s">
        <v>128</v>
      </c>
      <c r="B15" s="27" t="s">
        <v>287</v>
      </c>
      <c r="C15" s="24">
        <v>10369</v>
      </c>
    </row>
    <row r="16" spans="1:3">
      <c r="A16" s="4" t="s">
        <v>128</v>
      </c>
      <c r="B16" s="27" t="s">
        <v>288</v>
      </c>
      <c r="C16" s="24">
        <v>6912</v>
      </c>
    </row>
    <row r="17" spans="1:3">
      <c r="A17" s="4" t="s">
        <v>128</v>
      </c>
      <c r="B17" s="27" t="s">
        <v>289</v>
      </c>
      <c r="C17" s="24">
        <v>8986</v>
      </c>
    </row>
    <row r="18" spans="1:3">
      <c r="A18" s="4" t="s">
        <v>128</v>
      </c>
      <c r="B18" s="27" t="s">
        <v>290</v>
      </c>
      <c r="C18" s="24">
        <v>13825</v>
      </c>
    </row>
    <row r="19" spans="1:3">
      <c r="A19" s="4" t="s">
        <v>128</v>
      </c>
      <c r="B19" s="27" t="s">
        <v>291</v>
      </c>
      <c r="C19" s="24">
        <v>9952</v>
      </c>
    </row>
    <row r="20" spans="1:3">
      <c r="A20" s="4" t="s">
        <v>128</v>
      </c>
      <c r="B20" s="27" t="s">
        <v>292</v>
      </c>
      <c r="C20" s="24">
        <v>15100</v>
      </c>
    </row>
    <row r="21" spans="1:3">
      <c r="A21" s="4" t="s">
        <v>128</v>
      </c>
      <c r="B21" s="27" t="s">
        <v>293</v>
      </c>
      <c r="C21" s="24">
        <v>5472</v>
      </c>
    </row>
    <row r="22" spans="1:3">
      <c r="A22" s="4" t="s">
        <v>128</v>
      </c>
      <c r="B22" s="27" t="s">
        <v>294</v>
      </c>
      <c r="C22" s="24">
        <v>2996</v>
      </c>
    </row>
    <row r="23" spans="1:3">
      <c r="A23" s="4" t="s">
        <v>128</v>
      </c>
      <c r="B23" s="27" t="s">
        <v>274</v>
      </c>
      <c r="C23" s="24">
        <v>5670</v>
      </c>
    </row>
    <row r="24" spans="1:3">
      <c r="A24" s="4" t="s">
        <v>128</v>
      </c>
      <c r="B24" s="27" t="s">
        <v>295</v>
      </c>
      <c r="C24" s="24">
        <v>5760</v>
      </c>
    </row>
    <row r="25" spans="1:3">
      <c r="A25" s="4" t="s">
        <v>128</v>
      </c>
      <c r="B25" s="27" t="s">
        <v>296</v>
      </c>
      <c r="C25" s="24">
        <v>600</v>
      </c>
    </row>
    <row r="26" spans="1:3">
      <c r="A26" s="4" t="s">
        <v>128</v>
      </c>
      <c r="B26" s="27" t="s">
        <v>297</v>
      </c>
      <c r="C26" s="24">
        <v>19527</v>
      </c>
    </row>
    <row r="27" spans="1:3">
      <c r="A27" s="4" t="s">
        <v>104</v>
      </c>
      <c r="B27" s="27" t="s">
        <v>298</v>
      </c>
      <c r="C27" s="24">
        <v>16800</v>
      </c>
    </row>
    <row r="28" spans="1:3">
      <c r="A28" s="4" t="s">
        <v>104</v>
      </c>
      <c r="B28" s="27" t="s">
        <v>299</v>
      </c>
      <c r="C28" s="24">
        <v>11500</v>
      </c>
    </row>
    <row r="29" spans="1:3">
      <c r="A29" s="4" t="s">
        <v>104</v>
      </c>
      <c r="B29" s="27" t="s">
        <v>300</v>
      </c>
      <c r="C29" s="24">
        <v>5500</v>
      </c>
    </row>
    <row r="30" spans="1:3">
      <c r="A30" s="4" t="s">
        <v>114</v>
      </c>
      <c r="B30" s="27" t="s">
        <v>301</v>
      </c>
      <c r="C30" s="24">
        <v>3700</v>
      </c>
    </row>
    <row r="31" spans="1:3">
      <c r="A31" s="4" t="s">
        <v>114</v>
      </c>
      <c r="B31" s="27" t="s">
        <v>302</v>
      </c>
      <c r="C31" s="24">
        <v>3500</v>
      </c>
    </row>
    <row r="32" spans="1:3">
      <c r="A32" s="4" t="s">
        <v>114</v>
      </c>
      <c r="B32" s="27" t="s">
        <v>303</v>
      </c>
      <c r="C32" s="24">
        <v>5968</v>
      </c>
    </row>
    <row r="33" spans="1:3">
      <c r="A33" s="4" t="s">
        <v>114</v>
      </c>
      <c r="B33" s="27" t="s">
        <v>304</v>
      </c>
      <c r="C33" s="24">
        <v>6700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69"/>
  <sheetViews>
    <sheetView topLeftCell="A49" workbookViewId="0">
      <selection activeCell="B4" sqref="B4:J69"/>
    </sheetView>
  </sheetViews>
  <sheetFormatPr baseColWidth="10" defaultRowHeight="14.4"/>
  <cols>
    <col min="2" max="2" width="8.33203125" style="4" bestFit="1" customWidth="1"/>
    <col min="3" max="3" width="35.6640625" bestFit="1" customWidth="1"/>
    <col min="4" max="4" width="20.77734375" bestFit="1" customWidth="1"/>
    <col min="5" max="5" width="19.6640625" bestFit="1" customWidth="1"/>
    <col min="6" max="6" width="9.5546875" bestFit="1" customWidth="1"/>
    <col min="7" max="7" width="12.33203125" bestFit="1" customWidth="1"/>
    <col min="8" max="8" width="50.109375" bestFit="1" customWidth="1"/>
  </cols>
  <sheetData>
    <row r="3" spans="2:9">
      <c r="E3" t="s">
        <v>0</v>
      </c>
      <c r="G3" t="s">
        <v>1</v>
      </c>
    </row>
    <row r="4" spans="2:9">
      <c r="B4" s="6" t="s">
        <v>2</v>
      </c>
      <c r="C4" s="3" t="s">
        <v>3</v>
      </c>
      <c r="D4" s="3" t="s">
        <v>4</v>
      </c>
      <c r="E4" s="3" t="s">
        <v>5</v>
      </c>
      <c r="F4" s="3" t="s">
        <v>265</v>
      </c>
      <c r="G4" s="3"/>
      <c r="H4" s="3" t="s">
        <v>267</v>
      </c>
      <c r="I4" s="3" t="s">
        <v>3</v>
      </c>
    </row>
    <row r="5" spans="2:9">
      <c r="B5" s="5">
        <v>5407</v>
      </c>
      <c r="C5" s="19" t="s">
        <v>143</v>
      </c>
      <c r="D5" s="1" t="s">
        <v>47</v>
      </c>
      <c r="E5" s="1" t="s">
        <v>128</v>
      </c>
      <c r="F5" s="7">
        <f>ROUNDUP(G5,0)</f>
        <v>5069</v>
      </c>
      <c r="G5" s="7">
        <v>5068.8</v>
      </c>
      <c r="H5" s="22">
        <f>F5-500</f>
        <v>4569</v>
      </c>
      <c r="I5">
        <v>500</v>
      </c>
    </row>
    <row r="6" spans="2:9">
      <c r="B6" s="5">
        <v>5516</v>
      </c>
      <c r="C6" s="19" t="s">
        <v>146</v>
      </c>
      <c r="D6" s="1" t="s">
        <v>47</v>
      </c>
      <c r="E6" s="1" t="s">
        <v>128</v>
      </c>
      <c r="F6" s="7">
        <f t="shared" ref="F6:F69" si="0">ROUNDUP(G6,0)</f>
        <v>2765</v>
      </c>
      <c r="G6" s="7">
        <v>2764.8</v>
      </c>
      <c r="H6" s="22">
        <f t="shared" ref="H6:H24" si="1">G6-500</f>
        <v>2264.8000000000002</v>
      </c>
      <c r="I6">
        <v>500</v>
      </c>
    </row>
    <row r="7" spans="2:9">
      <c r="B7" s="5">
        <v>5468</v>
      </c>
      <c r="C7" s="19" t="s">
        <v>149</v>
      </c>
      <c r="D7" s="1" t="s">
        <v>47</v>
      </c>
      <c r="E7" s="1" t="s">
        <v>128</v>
      </c>
      <c r="F7" s="7">
        <f t="shared" si="0"/>
        <v>5127</v>
      </c>
      <c r="G7" s="7">
        <v>5126.3999999999996</v>
      </c>
      <c r="H7" s="22">
        <f t="shared" si="1"/>
        <v>4626.3999999999996</v>
      </c>
      <c r="I7">
        <v>500</v>
      </c>
    </row>
    <row r="8" spans="2:9">
      <c r="B8" s="5">
        <v>5351</v>
      </c>
      <c r="C8" s="19" t="s">
        <v>150</v>
      </c>
      <c r="D8" s="1" t="s">
        <v>47</v>
      </c>
      <c r="E8" s="1" t="s">
        <v>128</v>
      </c>
      <c r="F8" s="7">
        <f t="shared" si="0"/>
        <v>3053</v>
      </c>
      <c r="G8" s="7">
        <v>3052.8</v>
      </c>
      <c r="H8" s="22">
        <f t="shared" si="1"/>
        <v>2552.8000000000002</v>
      </c>
      <c r="I8">
        <v>500</v>
      </c>
    </row>
    <row r="9" spans="2:9">
      <c r="B9" s="5">
        <v>5515</v>
      </c>
      <c r="C9" s="19" t="s">
        <v>155</v>
      </c>
      <c r="D9" s="1" t="s">
        <v>47</v>
      </c>
      <c r="E9" s="1" t="s">
        <v>128</v>
      </c>
      <c r="F9" s="7">
        <f t="shared" si="0"/>
        <v>3053</v>
      </c>
      <c r="G9" s="7">
        <v>3052.8</v>
      </c>
      <c r="H9" s="22">
        <f t="shared" si="1"/>
        <v>2552.8000000000002</v>
      </c>
      <c r="I9">
        <v>500</v>
      </c>
    </row>
    <row r="10" spans="2:9">
      <c r="B10" s="5">
        <v>5404</v>
      </c>
      <c r="C10" s="19" t="s">
        <v>156</v>
      </c>
      <c r="D10" s="1" t="s">
        <v>47</v>
      </c>
      <c r="E10" s="1" t="s">
        <v>128</v>
      </c>
      <c r="F10" s="7">
        <f t="shared" si="0"/>
        <v>3341</v>
      </c>
      <c r="G10" s="7">
        <v>3340.8</v>
      </c>
      <c r="H10" s="22">
        <f t="shared" si="1"/>
        <v>2840.8</v>
      </c>
      <c r="I10">
        <v>500</v>
      </c>
    </row>
    <row r="11" spans="2:9">
      <c r="B11" s="5">
        <v>5467</v>
      </c>
      <c r="C11" s="19" t="s">
        <v>158</v>
      </c>
      <c r="D11" s="1" t="s">
        <v>47</v>
      </c>
      <c r="E11" s="1" t="s">
        <v>128</v>
      </c>
      <c r="F11" s="7">
        <f t="shared" si="0"/>
        <v>4148</v>
      </c>
      <c r="G11" s="7">
        <v>4147.2</v>
      </c>
      <c r="H11" s="22">
        <f t="shared" si="1"/>
        <v>3647.2</v>
      </c>
      <c r="I11">
        <v>500</v>
      </c>
    </row>
    <row r="12" spans="2:9">
      <c r="B12" s="5">
        <v>5530</v>
      </c>
      <c r="C12" s="19" t="s">
        <v>159</v>
      </c>
      <c r="D12" s="1" t="s">
        <v>47</v>
      </c>
      <c r="E12" s="1" t="s">
        <v>128</v>
      </c>
      <c r="F12" s="7">
        <f t="shared" si="0"/>
        <v>1325</v>
      </c>
      <c r="G12" s="7">
        <v>1324.8</v>
      </c>
      <c r="H12" s="22">
        <f t="shared" si="1"/>
        <v>824.8</v>
      </c>
      <c r="I12">
        <v>500</v>
      </c>
    </row>
    <row r="13" spans="2:9">
      <c r="B13" s="5">
        <v>5529</v>
      </c>
      <c r="C13" s="19" t="s">
        <v>161</v>
      </c>
      <c r="D13" s="1" t="s">
        <v>47</v>
      </c>
      <c r="E13" s="1" t="s">
        <v>128</v>
      </c>
      <c r="F13" s="7">
        <f t="shared" si="0"/>
        <v>5760</v>
      </c>
      <c r="G13" s="1">
        <v>5760</v>
      </c>
      <c r="H13" s="22">
        <f t="shared" si="1"/>
        <v>5260</v>
      </c>
      <c r="I13">
        <v>500</v>
      </c>
    </row>
    <row r="14" spans="2:9">
      <c r="B14" s="5">
        <v>5483</v>
      </c>
      <c r="C14" s="19" t="s">
        <v>162</v>
      </c>
      <c r="D14" s="1" t="s">
        <v>47</v>
      </c>
      <c r="E14" s="1" t="s">
        <v>128</v>
      </c>
      <c r="F14" s="7">
        <f t="shared" si="0"/>
        <v>3100</v>
      </c>
      <c r="G14" s="1">
        <v>3100</v>
      </c>
      <c r="H14" s="22">
        <f t="shared" si="1"/>
        <v>2600</v>
      </c>
      <c r="I14">
        <v>500</v>
      </c>
    </row>
    <row r="15" spans="2:9">
      <c r="B15" s="5">
        <v>5359</v>
      </c>
      <c r="C15" s="19" t="s">
        <v>164</v>
      </c>
      <c r="D15" s="1" t="s">
        <v>47</v>
      </c>
      <c r="E15" s="1" t="s">
        <v>128</v>
      </c>
      <c r="F15" s="7">
        <f t="shared" si="0"/>
        <v>4500</v>
      </c>
      <c r="G15" s="1">
        <v>4500</v>
      </c>
      <c r="H15" s="22">
        <f t="shared" si="1"/>
        <v>4000</v>
      </c>
      <c r="I15">
        <v>500</v>
      </c>
    </row>
    <row r="16" spans="2:9">
      <c r="B16" s="5">
        <v>5352</v>
      </c>
      <c r="C16" s="19" t="s">
        <v>166</v>
      </c>
      <c r="D16" s="1" t="s">
        <v>47</v>
      </c>
      <c r="E16" s="1" t="s">
        <v>128</v>
      </c>
      <c r="F16" s="7">
        <f t="shared" si="0"/>
        <v>2500</v>
      </c>
      <c r="G16" s="1">
        <v>2500</v>
      </c>
      <c r="H16" s="22">
        <f t="shared" si="1"/>
        <v>2000</v>
      </c>
      <c r="I16">
        <v>500</v>
      </c>
    </row>
    <row r="17" spans="2:9">
      <c r="B17" s="5">
        <v>5514</v>
      </c>
      <c r="C17" s="19" t="s">
        <v>167</v>
      </c>
      <c r="D17" s="1" t="s">
        <v>47</v>
      </c>
      <c r="E17" s="1" t="s">
        <v>128</v>
      </c>
      <c r="F17" s="7">
        <f t="shared" si="0"/>
        <v>700</v>
      </c>
      <c r="G17" s="7">
        <v>700</v>
      </c>
      <c r="H17" s="22">
        <f t="shared" si="1"/>
        <v>200</v>
      </c>
      <c r="I17">
        <v>500</v>
      </c>
    </row>
    <row r="18" spans="2:9">
      <c r="B18" s="5">
        <v>5484</v>
      </c>
      <c r="C18" s="19" t="s">
        <v>170</v>
      </c>
      <c r="D18" s="1" t="s">
        <v>47</v>
      </c>
      <c r="E18" s="1" t="s">
        <v>128</v>
      </c>
      <c r="F18" s="7">
        <f t="shared" si="0"/>
        <v>1440</v>
      </c>
      <c r="G18" s="1">
        <v>1440</v>
      </c>
      <c r="H18" s="22">
        <f t="shared" si="1"/>
        <v>940</v>
      </c>
      <c r="I18">
        <v>500</v>
      </c>
    </row>
    <row r="19" spans="2:9">
      <c r="B19" s="5">
        <v>5405</v>
      </c>
      <c r="C19" s="19" t="s">
        <v>172</v>
      </c>
      <c r="D19" s="1" t="s">
        <v>47</v>
      </c>
      <c r="E19" s="1" t="s">
        <v>128</v>
      </c>
      <c r="F19" s="7">
        <f t="shared" si="0"/>
        <v>1844</v>
      </c>
      <c r="G19" s="7">
        <v>1843.2</v>
      </c>
      <c r="H19" s="22">
        <f t="shared" si="1"/>
        <v>1343.2</v>
      </c>
      <c r="I19">
        <v>500</v>
      </c>
    </row>
    <row r="20" spans="2:9">
      <c r="B20" s="5">
        <v>5428</v>
      </c>
      <c r="C20" s="19" t="s">
        <v>175</v>
      </c>
      <c r="D20" s="1" t="s">
        <v>47</v>
      </c>
      <c r="E20" s="1" t="s">
        <v>128</v>
      </c>
      <c r="F20" s="7">
        <f t="shared" si="0"/>
        <v>922</v>
      </c>
      <c r="G20" s="7">
        <v>921.6</v>
      </c>
      <c r="H20" s="22">
        <f t="shared" si="1"/>
        <v>421.6</v>
      </c>
      <c r="I20">
        <v>500</v>
      </c>
    </row>
    <row r="21" spans="2:9">
      <c r="B21" s="5" t="s">
        <v>179</v>
      </c>
      <c r="C21" s="19" t="s">
        <v>180</v>
      </c>
      <c r="D21" s="1" t="s">
        <v>47</v>
      </c>
      <c r="E21" s="1" t="s">
        <v>128</v>
      </c>
      <c r="F21" s="7">
        <f t="shared" si="0"/>
        <v>2016</v>
      </c>
      <c r="G21" s="7">
        <v>2016</v>
      </c>
      <c r="H21" s="22">
        <f t="shared" si="1"/>
        <v>1516</v>
      </c>
      <c r="I21">
        <v>500</v>
      </c>
    </row>
    <row r="22" spans="2:9">
      <c r="B22" s="5">
        <v>5449</v>
      </c>
      <c r="C22" s="19" t="s">
        <v>181</v>
      </c>
      <c r="D22" s="1" t="s">
        <v>47</v>
      </c>
      <c r="E22" s="1" t="s">
        <v>128</v>
      </c>
      <c r="F22" s="7">
        <f t="shared" si="0"/>
        <v>2880</v>
      </c>
      <c r="G22" s="1">
        <v>2880</v>
      </c>
      <c r="H22" s="22">
        <f t="shared" si="1"/>
        <v>2380</v>
      </c>
      <c r="I22">
        <v>500</v>
      </c>
    </row>
    <row r="23" spans="2:9">
      <c r="B23" s="5">
        <v>6140</v>
      </c>
      <c r="C23" s="19" t="s">
        <v>192</v>
      </c>
      <c r="D23" s="1" t="s">
        <v>47</v>
      </c>
      <c r="E23" s="1" t="s">
        <v>128</v>
      </c>
      <c r="F23" s="7">
        <f t="shared" si="0"/>
        <v>6106</v>
      </c>
      <c r="G23" s="7">
        <v>6105.6</v>
      </c>
      <c r="H23" s="22">
        <f t="shared" si="1"/>
        <v>5605.6</v>
      </c>
      <c r="I23">
        <v>500</v>
      </c>
    </row>
    <row r="24" spans="2:9">
      <c r="B24" s="5">
        <v>5360</v>
      </c>
      <c r="C24" s="19" t="s">
        <v>256</v>
      </c>
      <c r="D24" s="1" t="s">
        <v>47</v>
      </c>
      <c r="E24" s="1" t="s">
        <v>128</v>
      </c>
      <c r="F24" s="7">
        <f t="shared" si="0"/>
        <v>5250</v>
      </c>
      <c r="G24" s="1">
        <v>5250</v>
      </c>
      <c r="H24" s="22">
        <f t="shared" si="1"/>
        <v>4750</v>
      </c>
      <c r="I24">
        <v>500</v>
      </c>
    </row>
    <row r="25" spans="2:9">
      <c r="B25" s="5" t="s">
        <v>81</v>
      </c>
      <c r="C25" s="1" t="s">
        <v>82</v>
      </c>
      <c r="D25" s="1" t="s">
        <v>47</v>
      </c>
      <c r="E25" s="1" t="s">
        <v>83</v>
      </c>
      <c r="F25" s="7">
        <f t="shared" si="0"/>
        <v>5670</v>
      </c>
      <c r="G25" s="1">
        <v>5670</v>
      </c>
    </row>
    <row r="26" spans="2:9">
      <c r="B26" s="5">
        <v>6131</v>
      </c>
      <c r="C26" s="1" t="s">
        <v>84</v>
      </c>
      <c r="D26" s="1" t="s">
        <v>7</v>
      </c>
      <c r="E26" s="1" t="s">
        <v>83</v>
      </c>
      <c r="F26" s="7">
        <f t="shared" si="0"/>
        <v>4551</v>
      </c>
      <c r="G26" s="7">
        <v>4550.3999999999996</v>
      </c>
    </row>
    <row r="27" spans="2:9">
      <c r="B27" s="5" t="s">
        <v>85</v>
      </c>
      <c r="C27" s="1" t="s">
        <v>86</v>
      </c>
      <c r="D27" s="1" t="s">
        <v>7</v>
      </c>
      <c r="E27" s="1" t="s">
        <v>83</v>
      </c>
      <c r="F27" s="7">
        <f t="shared" si="0"/>
        <v>4600</v>
      </c>
      <c r="G27" s="1">
        <v>4600</v>
      </c>
    </row>
    <row r="28" spans="2:9">
      <c r="B28" s="5" t="s">
        <v>87</v>
      </c>
      <c r="C28" s="1" t="s">
        <v>88</v>
      </c>
      <c r="D28" s="1" t="s">
        <v>7</v>
      </c>
      <c r="E28" s="1" t="s">
        <v>83</v>
      </c>
      <c r="F28" s="7">
        <f t="shared" si="0"/>
        <v>5472</v>
      </c>
      <c r="G28" s="1">
        <v>5472</v>
      </c>
    </row>
    <row r="29" spans="2:9">
      <c r="B29" s="5">
        <v>5819</v>
      </c>
      <c r="C29" s="1" t="s">
        <v>89</v>
      </c>
      <c r="D29" s="1" t="s">
        <v>7</v>
      </c>
      <c r="E29" s="1" t="s">
        <v>83</v>
      </c>
      <c r="F29" s="7">
        <f t="shared" si="0"/>
        <v>6100</v>
      </c>
      <c r="G29" s="1">
        <v>6100</v>
      </c>
    </row>
    <row r="30" spans="2:9">
      <c r="B30" s="5" t="s">
        <v>90</v>
      </c>
      <c r="C30" s="1" t="s">
        <v>91</v>
      </c>
      <c r="D30" s="1" t="s">
        <v>7</v>
      </c>
      <c r="E30" s="1" t="s">
        <v>83</v>
      </c>
      <c r="F30" s="7">
        <f t="shared" si="0"/>
        <v>4200</v>
      </c>
      <c r="G30" s="7">
        <v>4200</v>
      </c>
    </row>
    <row r="31" spans="2:9">
      <c r="B31" s="5">
        <v>5588</v>
      </c>
      <c r="C31" s="1" t="s">
        <v>92</v>
      </c>
      <c r="D31" s="1" t="s">
        <v>47</v>
      </c>
      <c r="E31" s="1" t="s">
        <v>83</v>
      </c>
      <c r="F31" s="7">
        <f t="shared" si="0"/>
        <v>980</v>
      </c>
      <c r="G31" s="7">
        <v>979.2</v>
      </c>
    </row>
    <row r="32" spans="2:9">
      <c r="B32" s="5">
        <v>5000</v>
      </c>
      <c r="C32" s="1" t="s">
        <v>93</v>
      </c>
      <c r="D32" s="1" t="s">
        <v>7</v>
      </c>
      <c r="E32" s="1" t="s">
        <v>83</v>
      </c>
      <c r="F32" s="7">
        <f t="shared" si="0"/>
        <v>5472</v>
      </c>
      <c r="G32" s="7">
        <v>5472</v>
      </c>
    </row>
    <row r="33" spans="2:7">
      <c r="B33" s="5" t="s">
        <v>94</v>
      </c>
      <c r="C33" s="1" t="s">
        <v>95</v>
      </c>
      <c r="D33" s="1" t="s">
        <v>7</v>
      </c>
      <c r="E33" s="1" t="s">
        <v>83</v>
      </c>
      <c r="F33" s="7">
        <f t="shared" si="0"/>
        <v>2996</v>
      </c>
      <c r="G33" s="7">
        <v>2995.2</v>
      </c>
    </row>
    <row r="34" spans="2:7">
      <c r="B34" s="5" t="s">
        <v>96</v>
      </c>
      <c r="C34" s="1" t="s">
        <v>97</v>
      </c>
      <c r="D34" s="1" t="s">
        <v>7</v>
      </c>
      <c r="E34" s="1" t="s">
        <v>83</v>
      </c>
      <c r="F34" s="7">
        <f t="shared" si="0"/>
        <v>3500</v>
      </c>
      <c r="G34" s="7">
        <v>3500</v>
      </c>
    </row>
    <row r="35" spans="2:7">
      <c r="B35" s="5" t="s">
        <v>98</v>
      </c>
      <c r="C35" s="1" t="s">
        <v>99</v>
      </c>
      <c r="D35" s="1" t="s">
        <v>7</v>
      </c>
      <c r="E35" s="1" t="s">
        <v>83</v>
      </c>
      <c r="F35" s="7">
        <f t="shared" si="0"/>
        <v>3744</v>
      </c>
      <c r="G35" s="7">
        <v>3744</v>
      </c>
    </row>
    <row r="36" spans="2:7">
      <c r="B36" s="5">
        <v>6146</v>
      </c>
      <c r="C36" s="1" t="s">
        <v>100</v>
      </c>
      <c r="D36" s="1" t="s">
        <v>7</v>
      </c>
      <c r="E36" s="1" t="s">
        <v>83</v>
      </c>
      <c r="F36" s="7">
        <f t="shared" si="0"/>
        <v>9000</v>
      </c>
      <c r="G36" s="7">
        <v>9000</v>
      </c>
    </row>
    <row r="37" spans="2:7">
      <c r="B37" s="5" t="s">
        <v>126</v>
      </c>
      <c r="C37" s="1" t="s">
        <v>127</v>
      </c>
      <c r="D37" s="1" t="s">
        <v>7</v>
      </c>
      <c r="E37" s="1" t="s">
        <v>128</v>
      </c>
      <c r="F37" s="7">
        <f t="shared" si="0"/>
        <v>6912</v>
      </c>
      <c r="G37" s="7">
        <v>6912</v>
      </c>
    </row>
    <row r="38" spans="2:7">
      <c r="B38" s="5">
        <v>4459</v>
      </c>
      <c r="C38" s="1" t="s">
        <v>129</v>
      </c>
      <c r="D38" s="1" t="s">
        <v>7</v>
      </c>
      <c r="E38" s="1" t="s">
        <v>128</v>
      </c>
      <c r="F38" s="7">
        <f t="shared" si="0"/>
        <v>4666</v>
      </c>
      <c r="G38" s="7">
        <v>4665.6000000000004</v>
      </c>
    </row>
    <row r="39" spans="2:7">
      <c r="B39" s="5">
        <v>4559</v>
      </c>
      <c r="C39" s="1" t="s">
        <v>130</v>
      </c>
      <c r="D39" s="1" t="s">
        <v>7</v>
      </c>
      <c r="E39" s="1" t="s">
        <v>128</v>
      </c>
      <c r="F39" s="7">
        <f t="shared" si="0"/>
        <v>4320</v>
      </c>
      <c r="G39" s="7">
        <v>4320</v>
      </c>
    </row>
    <row r="40" spans="2:7">
      <c r="B40" s="5" t="s">
        <v>131</v>
      </c>
      <c r="C40" s="1" t="s">
        <v>132</v>
      </c>
      <c r="D40" s="1" t="s">
        <v>7</v>
      </c>
      <c r="E40" s="1" t="s">
        <v>128</v>
      </c>
      <c r="F40" s="7">
        <f t="shared" si="0"/>
        <v>5645</v>
      </c>
      <c r="G40" s="7">
        <v>5644.8</v>
      </c>
    </row>
    <row r="41" spans="2:7">
      <c r="B41" s="5" t="s">
        <v>133</v>
      </c>
      <c r="C41" s="1" t="s">
        <v>134</v>
      </c>
      <c r="D41" s="1" t="s">
        <v>18</v>
      </c>
      <c r="E41" s="1" t="s">
        <v>128</v>
      </c>
      <c r="F41" s="7">
        <f t="shared" si="0"/>
        <v>8180</v>
      </c>
      <c r="G41" s="7">
        <v>8179.2</v>
      </c>
    </row>
    <row r="42" spans="2:7">
      <c r="B42" s="5" t="s">
        <v>135</v>
      </c>
      <c r="C42" s="1" t="s">
        <v>136</v>
      </c>
      <c r="D42" s="1" t="s">
        <v>7</v>
      </c>
      <c r="E42" s="1" t="s">
        <v>128</v>
      </c>
      <c r="F42" s="7">
        <f t="shared" si="0"/>
        <v>5876</v>
      </c>
      <c r="G42" s="7">
        <v>5875.2</v>
      </c>
    </row>
    <row r="43" spans="2:7">
      <c r="B43" s="5" t="s">
        <v>137</v>
      </c>
      <c r="C43" s="1" t="s">
        <v>138</v>
      </c>
      <c r="D43" s="1" t="s">
        <v>18</v>
      </c>
      <c r="E43" s="1" t="s">
        <v>128</v>
      </c>
      <c r="F43" s="7">
        <f t="shared" si="0"/>
        <v>4493</v>
      </c>
      <c r="G43" s="7">
        <v>4492.8</v>
      </c>
    </row>
    <row r="44" spans="2:7">
      <c r="B44" s="5" t="s">
        <v>139</v>
      </c>
      <c r="C44" s="1" t="s">
        <v>140</v>
      </c>
      <c r="D44" s="1" t="s">
        <v>7</v>
      </c>
      <c r="E44" s="1" t="s">
        <v>128</v>
      </c>
      <c r="F44" s="7">
        <f t="shared" si="0"/>
        <v>5876</v>
      </c>
      <c r="G44" s="7">
        <v>5875.2</v>
      </c>
    </row>
    <row r="45" spans="2:7">
      <c r="B45" s="5" t="s">
        <v>141</v>
      </c>
      <c r="C45" s="1" t="s">
        <v>142</v>
      </c>
      <c r="D45" s="1" t="s">
        <v>7</v>
      </c>
      <c r="E45" s="1" t="s">
        <v>128</v>
      </c>
      <c r="F45" s="7">
        <f t="shared" si="0"/>
        <v>7000</v>
      </c>
      <c r="G45" s="7">
        <v>7000</v>
      </c>
    </row>
    <row r="46" spans="2:7">
      <c r="B46" s="5" t="s">
        <v>144</v>
      </c>
      <c r="C46" s="1" t="s">
        <v>145</v>
      </c>
      <c r="D46" s="1" t="s">
        <v>7</v>
      </c>
      <c r="E46" s="1" t="s">
        <v>128</v>
      </c>
      <c r="F46" s="7">
        <f t="shared" si="0"/>
        <v>3456</v>
      </c>
      <c r="G46" s="1">
        <v>3456</v>
      </c>
    </row>
    <row r="47" spans="2:7">
      <c r="B47" s="5" t="s">
        <v>147</v>
      </c>
      <c r="C47" s="1" t="s">
        <v>148</v>
      </c>
      <c r="D47" s="1" t="s">
        <v>47</v>
      </c>
      <c r="E47" s="1" t="s">
        <v>128</v>
      </c>
      <c r="F47" s="7">
        <f t="shared" si="0"/>
        <v>3570</v>
      </c>
      <c r="G47" s="7">
        <v>3570</v>
      </c>
    </row>
    <row r="48" spans="2:7">
      <c r="B48" s="5" t="s">
        <v>151</v>
      </c>
      <c r="C48" s="1" t="s">
        <v>152</v>
      </c>
      <c r="D48" s="1" t="s">
        <v>7</v>
      </c>
      <c r="E48" s="1" t="s">
        <v>128</v>
      </c>
      <c r="F48" s="7">
        <f t="shared" si="0"/>
        <v>5184</v>
      </c>
      <c r="G48" s="1">
        <v>5184</v>
      </c>
    </row>
    <row r="49" spans="2:7">
      <c r="B49" s="5" t="s">
        <v>153</v>
      </c>
      <c r="C49" s="1" t="s">
        <v>154</v>
      </c>
      <c r="D49" s="1" t="s">
        <v>47</v>
      </c>
      <c r="E49" s="1" t="s">
        <v>128</v>
      </c>
      <c r="F49" s="7">
        <f t="shared" si="0"/>
        <v>4378</v>
      </c>
      <c r="G49" s="7">
        <v>4377.6000000000004</v>
      </c>
    </row>
    <row r="50" spans="2:7">
      <c r="B50" s="5">
        <v>5358</v>
      </c>
      <c r="C50" s="1" t="s">
        <v>157</v>
      </c>
      <c r="D50" s="1" t="s">
        <v>7</v>
      </c>
      <c r="E50" s="1" t="s">
        <v>128</v>
      </c>
      <c r="F50" s="7">
        <f t="shared" si="0"/>
        <v>1901</v>
      </c>
      <c r="G50" s="7">
        <v>1900.8</v>
      </c>
    </row>
    <row r="51" spans="2:7">
      <c r="B51" s="5">
        <v>5427</v>
      </c>
      <c r="C51" s="1" t="s">
        <v>160</v>
      </c>
      <c r="D51" s="1" t="s">
        <v>47</v>
      </c>
      <c r="E51" s="1" t="s">
        <v>128</v>
      </c>
      <c r="F51" s="7">
        <f t="shared" si="0"/>
        <v>1325</v>
      </c>
      <c r="G51" s="7">
        <v>1324.8</v>
      </c>
    </row>
    <row r="52" spans="2:7">
      <c r="B52" s="5">
        <v>5083</v>
      </c>
      <c r="C52" s="1" t="s">
        <v>163</v>
      </c>
      <c r="D52" s="1" t="s">
        <v>7</v>
      </c>
      <c r="E52" s="1" t="s">
        <v>128</v>
      </c>
      <c r="F52" s="7">
        <f t="shared" si="0"/>
        <v>1800</v>
      </c>
      <c r="G52" s="7">
        <v>1800</v>
      </c>
    </row>
    <row r="53" spans="2:7">
      <c r="B53" s="5">
        <v>4321</v>
      </c>
      <c r="C53" s="1" t="s">
        <v>165</v>
      </c>
      <c r="D53" s="1" t="s">
        <v>47</v>
      </c>
      <c r="E53" s="1" t="s">
        <v>128</v>
      </c>
      <c r="F53" s="7">
        <f t="shared" si="0"/>
        <v>4100</v>
      </c>
      <c r="G53" s="7">
        <v>4100</v>
      </c>
    </row>
    <row r="54" spans="2:7">
      <c r="B54" s="5" t="s">
        <v>168</v>
      </c>
      <c r="C54" s="1" t="s">
        <v>169</v>
      </c>
      <c r="D54" s="1" t="s">
        <v>47</v>
      </c>
      <c r="E54" s="1" t="s">
        <v>128</v>
      </c>
      <c r="F54" s="7">
        <f t="shared" si="0"/>
        <v>1498</v>
      </c>
      <c r="G54" s="7">
        <v>1497.6</v>
      </c>
    </row>
    <row r="55" spans="2:7">
      <c r="B55" s="5">
        <v>5485</v>
      </c>
      <c r="C55" s="1" t="s">
        <v>171</v>
      </c>
      <c r="D55" s="1" t="s">
        <v>47</v>
      </c>
      <c r="E55" s="1" t="s">
        <v>128</v>
      </c>
      <c r="F55" s="7">
        <f t="shared" si="0"/>
        <v>5000</v>
      </c>
      <c r="G55" s="11">
        <v>5000</v>
      </c>
    </row>
    <row r="56" spans="2:7">
      <c r="B56" s="5">
        <v>5429</v>
      </c>
      <c r="C56" s="1" t="s">
        <v>173</v>
      </c>
      <c r="D56" s="1" t="s">
        <v>47</v>
      </c>
      <c r="E56" s="1" t="s">
        <v>128</v>
      </c>
      <c r="F56" s="7">
        <f t="shared" si="0"/>
        <v>6509</v>
      </c>
      <c r="G56" s="7">
        <v>6508.8</v>
      </c>
    </row>
    <row r="57" spans="2:7">
      <c r="B57" s="5">
        <v>5531</v>
      </c>
      <c r="C57" s="1" t="s">
        <v>174</v>
      </c>
      <c r="D57" s="1" t="s">
        <v>47</v>
      </c>
      <c r="E57" s="1" t="s">
        <v>128</v>
      </c>
      <c r="F57" s="7">
        <f t="shared" si="0"/>
        <v>3456</v>
      </c>
      <c r="G57" s="1">
        <v>3456</v>
      </c>
    </row>
    <row r="58" spans="2:7">
      <c r="B58" s="5">
        <v>5369</v>
      </c>
      <c r="C58" s="1" t="s">
        <v>176</v>
      </c>
      <c r="D58" s="1" t="s">
        <v>47</v>
      </c>
      <c r="E58" s="1" t="s">
        <v>128</v>
      </c>
      <c r="F58" s="7">
        <f t="shared" si="0"/>
        <v>1844</v>
      </c>
      <c r="G58" s="7">
        <v>1843.2</v>
      </c>
    </row>
    <row r="59" spans="2:7">
      <c r="B59" s="5">
        <v>6311</v>
      </c>
      <c r="C59" s="1" t="s">
        <v>177</v>
      </c>
      <c r="D59" s="1" t="s">
        <v>47</v>
      </c>
      <c r="E59" s="1" t="s">
        <v>128</v>
      </c>
      <c r="F59" s="7">
        <f t="shared" si="0"/>
        <v>3456</v>
      </c>
      <c r="G59" s="7">
        <v>3456</v>
      </c>
    </row>
    <row r="60" spans="2:7">
      <c r="B60" s="5">
        <v>5466</v>
      </c>
      <c r="C60" s="1" t="s">
        <v>178</v>
      </c>
      <c r="D60" s="1" t="s">
        <v>47</v>
      </c>
      <c r="E60" s="1" t="s">
        <v>128</v>
      </c>
      <c r="F60" s="7">
        <f t="shared" si="0"/>
        <v>3226</v>
      </c>
      <c r="G60" s="7">
        <v>3225.6</v>
      </c>
    </row>
    <row r="61" spans="2:7">
      <c r="B61" s="5">
        <v>6107</v>
      </c>
      <c r="C61" s="1" t="s">
        <v>182</v>
      </c>
      <c r="D61" s="1" t="s">
        <v>47</v>
      </c>
      <c r="E61" s="1" t="s">
        <v>128</v>
      </c>
      <c r="F61" s="7">
        <f t="shared" si="0"/>
        <v>3629</v>
      </c>
      <c r="G61" s="7">
        <v>3628.8</v>
      </c>
    </row>
    <row r="62" spans="2:7">
      <c r="B62" s="5">
        <v>6115</v>
      </c>
      <c r="C62" s="8" t="s">
        <v>183</v>
      </c>
      <c r="D62" s="1" t="s">
        <v>7</v>
      </c>
      <c r="E62" s="1" t="s">
        <v>128</v>
      </c>
      <c r="F62" s="7">
        <f t="shared" si="0"/>
        <v>4400</v>
      </c>
      <c r="G62" s="8">
        <v>4400</v>
      </c>
    </row>
    <row r="63" spans="2:7">
      <c r="B63" s="5">
        <v>5357</v>
      </c>
      <c r="C63" s="1" t="s">
        <v>184</v>
      </c>
      <c r="D63" s="1" t="s">
        <v>7</v>
      </c>
      <c r="E63" s="1" t="s">
        <v>128</v>
      </c>
      <c r="F63" s="7">
        <f t="shared" si="0"/>
        <v>3284</v>
      </c>
      <c r="G63" s="7">
        <v>3283.2</v>
      </c>
    </row>
    <row r="64" spans="2:7">
      <c r="B64" s="5">
        <v>5406</v>
      </c>
      <c r="C64" s="1" t="s">
        <v>185</v>
      </c>
      <c r="D64" s="1" t="s">
        <v>7</v>
      </c>
      <c r="E64" s="1" t="s">
        <v>128</v>
      </c>
      <c r="F64" s="7">
        <f t="shared" si="0"/>
        <v>5876</v>
      </c>
      <c r="G64" s="7">
        <v>5875.2</v>
      </c>
    </row>
    <row r="65" spans="2:8">
      <c r="B65" s="5">
        <v>5133</v>
      </c>
      <c r="C65" s="1" t="s">
        <v>186</v>
      </c>
      <c r="D65" s="1" t="s">
        <v>7</v>
      </c>
      <c r="E65" s="1" t="s">
        <v>128</v>
      </c>
      <c r="F65" s="7">
        <f t="shared" si="0"/>
        <v>4724</v>
      </c>
      <c r="G65" s="7">
        <v>4723.2</v>
      </c>
    </row>
    <row r="66" spans="2:8">
      <c r="B66" s="5" t="s">
        <v>187</v>
      </c>
      <c r="C66" s="1" t="s">
        <v>188</v>
      </c>
      <c r="D66" s="1" t="s">
        <v>7</v>
      </c>
      <c r="E66" s="1" t="s">
        <v>128</v>
      </c>
      <c r="F66" s="7">
        <f t="shared" si="0"/>
        <v>5760</v>
      </c>
      <c r="G66" s="7">
        <v>5760</v>
      </c>
      <c r="H66" s="21"/>
    </row>
    <row r="67" spans="2:8">
      <c r="B67" s="5" t="s">
        <v>189</v>
      </c>
      <c r="C67" s="1" t="s">
        <v>190</v>
      </c>
      <c r="D67" s="1" t="s">
        <v>7</v>
      </c>
      <c r="E67" s="1" t="s">
        <v>128</v>
      </c>
      <c r="F67" s="7">
        <f t="shared" si="0"/>
        <v>7085</v>
      </c>
      <c r="G67" s="7">
        <v>7084.8</v>
      </c>
    </row>
    <row r="68" spans="2:8">
      <c r="B68" s="5"/>
      <c r="C68" s="1" t="s">
        <v>191</v>
      </c>
      <c r="D68" s="1" t="s">
        <v>47</v>
      </c>
      <c r="E68" s="1" t="s">
        <v>128</v>
      </c>
      <c r="F68" s="7">
        <f t="shared" si="0"/>
        <v>600</v>
      </c>
      <c r="G68" s="2">
        <v>600</v>
      </c>
      <c r="H68" s="20" t="s">
        <v>259</v>
      </c>
    </row>
    <row r="69" spans="2:8">
      <c r="B69" s="5" t="s">
        <v>257</v>
      </c>
      <c r="C69" s="1" t="s">
        <v>258</v>
      </c>
      <c r="D69" s="1" t="s">
        <v>7</v>
      </c>
      <c r="E69" s="1" t="s">
        <v>128</v>
      </c>
      <c r="F69" s="7">
        <f t="shared" si="0"/>
        <v>4050</v>
      </c>
      <c r="G69" s="1">
        <v>4050</v>
      </c>
    </row>
  </sheetData>
  <autoFilter ref="B4:H4" xr:uid="{00000000-0001-0000-0000-000000000000}">
    <sortState xmlns:xlrd2="http://schemas.microsoft.com/office/spreadsheetml/2017/richdata2" ref="B5:H69">
      <sortCondition sortBy="cellColor" ref="C4" dxfId="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56"/>
  <sheetViews>
    <sheetView workbookViewId="0">
      <selection activeCell="B4" sqref="B4:J69"/>
    </sheetView>
  </sheetViews>
  <sheetFormatPr baseColWidth="10" defaultRowHeight="14.4"/>
  <cols>
    <col min="3" max="3" width="6.109375" bestFit="1" customWidth="1"/>
    <col min="4" max="4" width="41.5546875" bestFit="1" customWidth="1"/>
    <col min="5" max="5" width="30" bestFit="1" customWidth="1"/>
    <col min="6" max="6" width="17.44140625" bestFit="1" customWidth="1"/>
    <col min="7" max="7" width="8.33203125" bestFit="1" customWidth="1"/>
    <col min="8" max="8" width="12.33203125" bestFit="1" customWidth="1"/>
    <col min="9" max="9" width="68" bestFit="1" customWidth="1"/>
  </cols>
  <sheetData>
    <row r="3" spans="3:8">
      <c r="F3" t="s">
        <v>0</v>
      </c>
      <c r="H3" t="s">
        <v>1</v>
      </c>
    </row>
    <row r="4" spans="3:8">
      <c r="C4" s="3" t="s">
        <v>2</v>
      </c>
      <c r="D4" s="3" t="s">
        <v>3</v>
      </c>
      <c r="E4" s="3" t="s">
        <v>4</v>
      </c>
      <c r="F4" s="3" t="s">
        <v>5</v>
      </c>
      <c r="G4" s="3" t="s">
        <v>266</v>
      </c>
      <c r="H4" s="3"/>
    </row>
    <row r="5" spans="3:8">
      <c r="C5" s="5"/>
      <c r="D5" s="1" t="s">
        <v>6</v>
      </c>
      <c r="E5" s="1" t="s">
        <v>7</v>
      </c>
      <c r="F5" s="1" t="s">
        <v>8</v>
      </c>
      <c r="G5" s="7">
        <f>ROUNDUP(H5,0)</f>
        <v>5760</v>
      </c>
      <c r="H5" s="1">
        <v>5760</v>
      </c>
    </row>
    <row r="6" spans="3:8">
      <c r="C6" s="5">
        <v>5361</v>
      </c>
      <c r="D6" s="1" t="s">
        <v>9</v>
      </c>
      <c r="E6" s="1" t="s">
        <v>7</v>
      </c>
      <c r="F6" s="1" t="s">
        <v>8</v>
      </c>
      <c r="G6" s="7">
        <f t="shared" ref="G6:G56" si="0">ROUNDUP(H6,0)</f>
        <v>6700</v>
      </c>
      <c r="H6" s="1">
        <v>6700</v>
      </c>
    </row>
    <row r="7" spans="3:8">
      <c r="C7" s="5" t="s">
        <v>10</v>
      </c>
      <c r="D7" s="1" t="s">
        <v>11</v>
      </c>
      <c r="E7" s="1" t="s">
        <v>7</v>
      </c>
      <c r="F7" s="1" t="s">
        <v>8</v>
      </c>
      <c r="G7" s="7">
        <f t="shared" si="0"/>
        <v>5976</v>
      </c>
      <c r="H7" s="1">
        <v>5976</v>
      </c>
    </row>
    <row r="8" spans="3:8">
      <c r="C8" s="5">
        <v>5365</v>
      </c>
      <c r="D8" s="1" t="s">
        <v>12</v>
      </c>
      <c r="E8" s="1" t="s">
        <v>7</v>
      </c>
      <c r="F8" s="1" t="s">
        <v>8</v>
      </c>
      <c r="G8" s="7">
        <f t="shared" si="0"/>
        <v>6480</v>
      </c>
      <c r="H8" s="1">
        <v>6480</v>
      </c>
    </row>
    <row r="9" spans="3:8">
      <c r="C9" s="5">
        <v>5244</v>
      </c>
      <c r="D9" s="1" t="s">
        <v>13</v>
      </c>
      <c r="E9" s="1" t="s">
        <v>7</v>
      </c>
      <c r="F9" s="1" t="s">
        <v>8</v>
      </c>
      <c r="G9" s="7">
        <f t="shared" si="0"/>
        <v>4680</v>
      </c>
      <c r="H9" s="1">
        <v>4680</v>
      </c>
    </row>
    <row r="10" spans="3:8">
      <c r="C10" s="5">
        <v>5031</v>
      </c>
      <c r="D10" s="1" t="s">
        <v>14</v>
      </c>
      <c r="E10" s="1" t="s">
        <v>7</v>
      </c>
      <c r="F10" s="1" t="s">
        <v>8</v>
      </c>
      <c r="G10" s="7">
        <f t="shared" si="0"/>
        <v>6840</v>
      </c>
      <c r="H10" s="1">
        <v>6840</v>
      </c>
    </row>
    <row r="11" spans="3:8">
      <c r="C11" s="5">
        <v>5348</v>
      </c>
      <c r="D11" s="1" t="s">
        <v>15</v>
      </c>
      <c r="E11" s="1" t="s">
        <v>7</v>
      </c>
      <c r="F11" s="1" t="s">
        <v>8</v>
      </c>
      <c r="G11" s="7">
        <f t="shared" si="0"/>
        <v>2000</v>
      </c>
      <c r="H11" s="1">
        <v>2000</v>
      </c>
    </row>
    <row r="12" spans="3:8">
      <c r="C12" s="5" t="s">
        <v>16</v>
      </c>
      <c r="D12" s="1" t="s">
        <v>17</v>
      </c>
      <c r="E12" s="1" t="s">
        <v>18</v>
      </c>
      <c r="F12" s="1" t="s">
        <v>8</v>
      </c>
      <c r="G12" s="7">
        <f t="shared" si="0"/>
        <v>8756</v>
      </c>
      <c r="H12" s="7">
        <v>8755.2000000000007</v>
      </c>
    </row>
    <row r="13" spans="3:8">
      <c r="C13" s="5">
        <v>5752</v>
      </c>
      <c r="D13" s="1" t="s">
        <v>19</v>
      </c>
      <c r="E13" s="1" t="s">
        <v>7</v>
      </c>
      <c r="F13" s="1" t="s">
        <v>8</v>
      </c>
      <c r="G13" s="7">
        <f t="shared" si="0"/>
        <v>3456</v>
      </c>
      <c r="H13" s="1">
        <v>3456</v>
      </c>
    </row>
    <row r="14" spans="3:8">
      <c r="C14" s="5">
        <v>5944</v>
      </c>
      <c r="D14" s="1" t="s">
        <v>20</v>
      </c>
      <c r="E14" s="1" t="s">
        <v>7</v>
      </c>
      <c r="F14" s="1" t="s">
        <v>8</v>
      </c>
      <c r="G14" s="7">
        <f t="shared" si="0"/>
        <v>5876</v>
      </c>
      <c r="H14" s="7">
        <v>5875.2</v>
      </c>
    </row>
    <row r="15" spans="3:8">
      <c r="C15" s="5">
        <v>5363</v>
      </c>
      <c r="D15" s="1" t="s">
        <v>21</v>
      </c>
      <c r="E15" s="1" t="s">
        <v>7</v>
      </c>
      <c r="F15" s="1" t="s">
        <v>8</v>
      </c>
      <c r="G15" s="7">
        <f t="shared" si="0"/>
        <v>5760</v>
      </c>
      <c r="H15" s="1">
        <v>5760</v>
      </c>
    </row>
    <row r="16" spans="3:8">
      <c r="C16" s="5">
        <v>5350</v>
      </c>
      <c r="D16" s="1" t="s">
        <v>22</v>
      </c>
      <c r="E16" s="1" t="s">
        <v>7</v>
      </c>
      <c r="F16" s="1" t="s">
        <v>8</v>
      </c>
      <c r="G16" s="7">
        <f t="shared" si="0"/>
        <v>5200</v>
      </c>
      <c r="H16" s="1">
        <v>5200</v>
      </c>
    </row>
    <row r="17" spans="3:9">
      <c r="C17" s="5" t="s">
        <v>23</v>
      </c>
      <c r="D17" s="1" t="s">
        <v>24</v>
      </c>
      <c r="E17" s="1" t="s">
        <v>7</v>
      </c>
      <c r="F17" s="1" t="s">
        <v>8</v>
      </c>
      <c r="G17" s="7">
        <f t="shared" si="0"/>
        <v>5760</v>
      </c>
      <c r="H17" s="1">
        <v>5760</v>
      </c>
    </row>
    <row r="18" spans="3:9">
      <c r="C18" s="9">
        <v>6583</v>
      </c>
      <c r="D18" s="10" t="s">
        <v>260</v>
      </c>
      <c r="E18" s="12" t="s">
        <v>261</v>
      </c>
      <c r="F18" s="10" t="s">
        <v>8</v>
      </c>
      <c r="G18" s="7">
        <f t="shared" si="0"/>
        <v>8756</v>
      </c>
      <c r="H18" s="11">
        <v>8755.2000000000007</v>
      </c>
    </row>
    <row r="19" spans="3:9">
      <c r="C19" s="5" t="s">
        <v>25</v>
      </c>
      <c r="D19" s="1" t="s">
        <v>26</v>
      </c>
      <c r="E19" s="1" t="s">
        <v>18</v>
      </c>
      <c r="F19" s="1" t="s">
        <v>8</v>
      </c>
      <c r="G19" s="7">
        <f t="shared" si="0"/>
        <v>7000</v>
      </c>
      <c r="H19" s="7">
        <v>7000</v>
      </c>
    </row>
    <row r="20" spans="3:9">
      <c r="C20" s="5">
        <v>4572</v>
      </c>
      <c r="D20" s="1" t="s">
        <v>27</v>
      </c>
      <c r="E20" s="1" t="s">
        <v>18</v>
      </c>
      <c r="F20" s="1" t="s">
        <v>8</v>
      </c>
      <c r="G20" s="7">
        <f t="shared" si="0"/>
        <v>7000</v>
      </c>
      <c r="H20" s="7">
        <v>7000</v>
      </c>
    </row>
    <row r="21" spans="3:9">
      <c r="C21" s="5" t="s">
        <v>28</v>
      </c>
      <c r="D21" s="1" t="s">
        <v>29</v>
      </c>
      <c r="E21" s="1" t="s">
        <v>18</v>
      </c>
      <c r="F21" s="1" t="s">
        <v>8</v>
      </c>
      <c r="G21" s="7">
        <f t="shared" si="0"/>
        <v>6400</v>
      </c>
      <c r="H21" s="7">
        <v>6400</v>
      </c>
    </row>
    <row r="22" spans="3:9">
      <c r="C22" s="5" t="s">
        <v>30</v>
      </c>
      <c r="D22" s="1" t="s">
        <v>31</v>
      </c>
      <c r="E22" s="1" t="s">
        <v>18</v>
      </c>
      <c r="F22" s="1" t="s">
        <v>8</v>
      </c>
      <c r="G22" s="7">
        <f t="shared" si="0"/>
        <v>6400</v>
      </c>
      <c r="H22" s="7">
        <v>6400</v>
      </c>
    </row>
    <row r="23" spans="3:9">
      <c r="C23" s="5">
        <v>4710</v>
      </c>
      <c r="D23" s="1" t="s">
        <v>32</v>
      </c>
      <c r="E23" s="1" t="s">
        <v>7</v>
      </c>
      <c r="F23" s="1" t="s">
        <v>8</v>
      </c>
      <c r="G23" s="7">
        <f t="shared" si="0"/>
        <v>5100</v>
      </c>
      <c r="H23" s="1">
        <v>5100</v>
      </c>
    </row>
    <row r="24" spans="3:9">
      <c r="C24" s="5">
        <v>5996</v>
      </c>
      <c r="D24" s="1" t="s">
        <v>33</v>
      </c>
      <c r="E24" s="1" t="s">
        <v>7</v>
      </c>
      <c r="F24" s="1" t="s">
        <v>8</v>
      </c>
      <c r="G24" s="7">
        <f t="shared" si="0"/>
        <v>5300</v>
      </c>
      <c r="H24" s="7">
        <v>5300</v>
      </c>
    </row>
    <row r="25" spans="3:9">
      <c r="C25" s="5">
        <v>4882</v>
      </c>
      <c r="D25" s="1" t="s">
        <v>34</v>
      </c>
      <c r="E25" s="1" t="s">
        <v>7</v>
      </c>
      <c r="F25" s="1" t="s">
        <v>8</v>
      </c>
      <c r="G25" s="7">
        <f t="shared" si="0"/>
        <v>5300</v>
      </c>
      <c r="H25" s="7">
        <v>5300</v>
      </c>
    </row>
    <row r="26" spans="3:9">
      <c r="C26" s="16">
        <v>5347</v>
      </c>
      <c r="D26" s="17" t="s">
        <v>35</v>
      </c>
      <c r="E26" s="17"/>
      <c r="F26" s="17"/>
      <c r="G26" s="7">
        <f t="shared" si="0"/>
        <v>0</v>
      </c>
      <c r="H26" s="17"/>
      <c r="I26" s="18" t="s">
        <v>264</v>
      </c>
    </row>
    <row r="27" spans="3:9">
      <c r="C27" s="5">
        <v>6079</v>
      </c>
      <c r="D27" s="1" t="s">
        <v>36</v>
      </c>
      <c r="E27" s="1" t="s">
        <v>7</v>
      </c>
      <c r="F27" s="1" t="s">
        <v>8</v>
      </c>
      <c r="G27" s="7">
        <f t="shared" si="0"/>
        <v>5180</v>
      </c>
      <c r="H27" s="1">
        <v>5180</v>
      </c>
    </row>
    <row r="28" spans="3:9">
      <c r="C28" s="5" t="s">
        <v>37</v>
      </c>
      <c r="D28" s="1" t="s">
        <v>38</v>
      </c>
      <c r="E28" s="1" t="s">
        <v>7</v>
      </c>
      <c r="F28" s="1" t="s">
        <v>8</v>
      </c>
      <c r="G28" s="7">
        <f t="shared" si="0"/>
        <v>5300</v>
      </c>
      <c r="H28" s="7">
        <v>5299.2</v>
      </c>
    </row>
    <row r="29" spans="3:9">
      <c r="C29" s="5">
        <v>4961</v>
      </c>
      <c r="D29" s="1" t="s">
        <v>39</v>
      </c>
      <c r="E29" s="1" t="s">
        <v>7</v>
      </c>
      <c r="F29" s="1" t="s">
        <v>8</v>
      </c>
      <c r="G29" s="7">
        <f t="shared" si="0"/>
        <v>4700</v>
      </c>
      <c r="H29" s="7">
        <v>4700</v>
      </c>
    </row>
    <row r="30" spans="3:9">
      <c r="C30" s="5" t="s">
        <v>40</v>
      </c>
      <c r="D30" s="1" t="s">
        <v>41</v>
      </c>
      <c r="E30" s="1" t="s">
        <v>7</v>
      </c>
      <c r="F30" s="1" t="s">
        <v>8</v>
      </c>
      <c r="G30" s="7">
        <f t="shared" si="0"/>
        <v>4140</v>
      </c>
      <c r="H30" s="7">
        <v>4140</v>
      </c>
    </row>
    <row r="31" spans="3:9">
      <c r="C31" s="5" t="s">
        <v>42</v>
      </c>
      <c r="D31" s="1" t="s">
        <v>43</v>
      </c>
      <c r="E31" s="1" t="s">
        <v>18</v>
      </c>
      <c r="F31" s="1" t="s">
        <v>8</v>
      </c>
      <c r="G31" s="7">
        <f t="shared" si="0"/>
        <v>5800</v>
      </c>
      <c r="H31" s="7">
        <v>5800</v>
      </c>
    </row>
    <row r="32" spans="3:9">
      <c r="C32" s="5" t="s">
        <v>44</v>
      </c>
      <c r="D32" s="1" t="s">
        <v>45</v>
      </c>
      <c r="E32" s="1" t="s">
        <v>7</v>
      </c>
      <c r="F32" s="1" t="s">
        <v>8</v>
      </c>
      <c r="G32" s="7">
        <f t="shared" si="0"/>
        <v>5300</v>
      </c>
      <c r="H32" s="7">
        <v>5299.2</v>
      </c>
    </row>
    <row r="33" spans="3:8">
      <c r="C33" s="5">
        <v>5367</v>
      </c>
      <c r="D33" s="1" t="s">
        <v>46</v>
      </c>
      <c r="E33" s="1" t="s">
        <v>47</v>
      </c>
      <c r="F33" s="1" t="s">
        <v>8</v>
      </c>
      <c r="G33" s="7">
        <f t="shared" si="0"/>
        <v>1600</v>
      </c>
      <c r="H33" s="7">
        <v>1600</v>
      </c>
    </row>
    <row r="34" spans="3:8">
      <c r="C34" s="5">
        <v>4458</v>
      </c>
      <c r="D34" s="1" t="s">
        <v>48</v>
      </c>
      <c r="E34" s="1" t="s">
        <v>47</v>
      </c>
      <c r="F34" s="1" t="s">
        <v>8</v>
      </c>
      <c r="G34" s="7">
        <f t="shared" si="0"/>
        <v>1700</v>
      </c>
      <c r="H34" s="1">
        <v>1700</v>
      </c>
    </row>
    <row r="35" spans="3:8">
      <c r="C35" s="5">
        <v>5954</v>
      </c>
      <c r="D35" s="1" t="s">
        <v>49</v>
      </c>
      <c r="E35" s="1" t="s">
        <v>7</v>
      </c>
      <c r="F35" s="1" t="s">
        <v>8</v>
      </c>
      <c r="G35" s="7">
        <f t="shared" si="0"/>
        <v>5760</v>
      </c>
      <c r="H35" s="1">
        <v>5760</v>
      </c>
    </row>
    <row r="36" spans="3:8">
      <c r="C36" s="5">
        <v>5327</v>
      </c>
      <c r="D36" s="1" t="s">
        <v>50</v>
      </c>
      <c r="E36" s="1" t="s">
        <v>47</v>
      </c>
      <c r="F36" s="1" t="s">
        <v>8</v>
      </c>
      <c r="G36" s="7">
        <f t="shared" si="0"/>
        <v>2000</v>
      </c>
      <c r="H36" s="1">
        <v>2000</v>
      </c>
    </row>
    <row r="37" spans="3:8">
      <c r="C37" s="5">
        <v>5611</v>
      </c>
      <c r="D37" s="1" t="s">
        <v>51</v>
      </c>
      <c r="E37" s="1" t="s">
        <v>18</v>
      </c>
      <c r="F37" s="1" t="s">
        <v>8</v>
      </c>
      <c r="G37" s="7">
        <f t="shared" si="0"/>
        <v>5760</v>
      </c>
      <c r="H37" s="1">
        <v>5760</v>
      </c>
    </row>
    <row r="38" spans="3:8">
      <c r="C38" s="5" t="s">
        <v>52</v>
      </c>
      <c r="D38" s="1" t="s">
        <v>53</v>
      </c>
      <c r="E38" s="1" t="s">
        <v>7</v>
      </c>
      <c r="F38" s="1" t="s">
        <v>8</v>
      </c>
      <c r="G38" s="7">
        <f t="shared" si="0"/>
        <v>2477</v>
      </c>
      <c r="H38" s="7">
        <v>2476.8000000000002</v>
      </c>
    </row>
    <row r="39" spans="3:8">
      <c r="C39" s="5" t="s">
        <v>54</v>
      </c>
      <c r="D39" s="1" t="s">
        <v>55</v>
      </c>
      <c r="E39" s="1" t="s">
        <v>7</v>
      </c>
      <c r="F39" s="1" t="s">
        <v>8</v>
      </c>
      <c r="G39" s="7">
        <f t="shared" si="0"/>
        <v>5184</v>
      </c>
      <c r="H39" s="1">
        <v>5184</v>
      </c>
    </row>
    <row r="40" spans="3:8">
      <c r="C40" s="5" t="s">
        <v>56</v>
      </c>
      <c r="D40" s="1" t="s">
        <v>57</v>
      </c>
      <c r="E40" s="1" t="s">
        <v>7</v>
      </c>
      <c r="F40" s="1" t="s">
        <v>8</v>
      </c>
      <c r="G40" s="7">
        <f t="shared" si="0"/>
        <v>5357</v>
      </c>
      <c r="H40" s="7">
        <v>5356.8</v>
      </c>
    </row>
    <row r="41" spans="3:8">
      <c r="C41" s="5" t="s">
        <v>58</v>
      </c>
      <c r="D41" s="1" t="s">
        <v>59</v>
      </c>
      <c r="E41" s="1" t="s">
        <v>47</v>
      </c>
      <c r="F41" s="1" t="s">
        <v>8</v>
      </c>
      <c r="G41" s="7">
        <f t="shared" si="0"/>
        <v>3111</v>
      </c>
      <c r="H41" s="7">
        <v>3110.4</v>
      </c>
    </row>
    <row r="42" spans="3:8">
      <c r="C42" s="5">
        <v>5094</v>
      </c>
      <c r="D42" s="1" t="s">
        <v>60</v>
      </c>
      <c r="E42" s="1" t="s">
        <v>7</v>
      </c>
      <c r="F42" s="1" t="s">
        <v>8</v>
      </c>
      <c r="G42" s="7">
        <f t="shared" si="0"/>
        <v>5876</v>
      </c>
      <c r="H42" s="7">
        <v>5875.2</v>
      </c>
    </row>
    <row r="43" spans="3:8">
      <c r="C43" s="5" t="s">
        <v>61</v>
      </c>
      <c r="D43" s="1" t="s">
        <v>62</v>
      </c>
      <c r="E43" s="1" t="s">
        <v>7</v>
      </c>
      <c r="F43" s="1" t="s">
        <v>8</v>
      </c>
      <c r="G43" s="7">
        <f t="shared" si="0"/>
        <v>4724</v>
      </c>
      <c r="H43" s="7">
        <v>4723.2</v>
      </c>
    </row>
    <row r="44" spans="3:8">
      <c r="C44" s="5" t="s">
        <v>63</v>
      </c>
      <c r="D44" s="1" t="s">
        <v>64</v>
      </c>
      <c r="E44" s="1" t="s">
        <v>7</v>
      </c>
      <c r="F44" s="1" t="s">
        <v>8</v>
      </c>
      <c r="G44" s="7">
        <f t="shared" si="0"/>
        <v>5300</v>
      </c>
      <c r="H44" s="7">
        <v>5299.2</v>
      </c>
    </row>
    <row r="45" spans="3:8">
      <c r="C45" s="5" t="s">
        <v>65</v>
      </c>
      <c r="D45" s="1" t="s">
        <v>66</v>
      </c>
      <c r="E45" s="1" t="s">
        <v>7</v>
      </c>
      <c r="F45" s="1" t="s">
        <v>8</v>
      </c>
      <c r="G45" s="7">
        <f t="shared" si="0"/>
        <v>5300</v>
      </c>
      <c r="H45" s="7">
        <v>5299.2</v>
      </c>
    </row>
    <row r="46" spans="3:8">
      <c r="C46" s="5" t="s">
        <v>67</v>
      </c>
      <c r="D46" s="1" t="s">
        <v>68</v>
      </c>
      <c r="E46" s="1" t="s">
        <v>7</v>
      </c>
      <c r="F46" s="1" t="s">
        <v>8</v>
      </c>
      <c r="G46" s="7">
        <f t="shared" si="0"/>
        <v>8756</v>
      </c>
      <c r="H46" s="7">
        <v>8755.2000000000007</v>
      </c>
    </row>
    <row r="47" spans="3:8">
      <c r="C47" s="5">
        <v>4769</v>
      </c>
      <c r="D47" s="1" t="s">
        <v>69</v>
      </c>
      <c r="E47" s="1" t="s">
        <v>18</v>
      </c>
      <c r="F47" s="1" t="s">
        <v>8</v>
      </c>
      <c r="G47" s="7">
        <f t="shared" si="0"/>
        <v>7028</v>
      </c>
      <c r="H47" s="7">
        <v>7027.2</v>
      </c>
    </row>
    <row r="48" spans="3:8">
      <c r="C48" s="5">
        <v>5612</v>
      </c>
      <c r="D48" s="1" t="s">
        <v>70</v>
      </c>
      <c r="E48" s="1" t="s">
        <v>7</v>
      </c>
      <c r="F48" s="1" t="s">
        <v>8</v>
      </c>
      <c r="G48" s="7">
        <f t="shared" si="0"/>
        <v>7028</v>
      </c>
      <c r="H48" s="7">
        <v>7027.2</v>
      </c>
    </row>
    <row r="49" spans="3:9">
      <c r="C49" s="5" t="s">
        <v>71</v>
      </c>
      <c r="D49" s="1" t="s">
        <v>72</v>
      </c>
      <c r="E49" s="1" t="s">
        <v>7</v>
      </c>
      <c r="F49" s="1" t="s">
        <v>8</v>
      </c>
      <c r="G49" s="7">
        <f t="shared" si="0"/>
        <v>7028</v>
      </c>
      <c r="H49" s="7">
        <v>7027.2</v>
      </c>
    </row>
    <row r="50" spans="3:9">
      <c r="C50" s="5" t="s">
        <v>73</v>
      </c>
      <c r="D50" s="1" t="s">
        <v>74</v>
      </c>
      <c r="E50" s="1" t="s">
        <v>7</v>
      </c>
      <c r="F50" s="1" t="s">
        <v>8</v>
      </c>
      <c r="G50" s="7">
        <f t="shared" si="0"/>
        <v>6452</v>
      </c>
      <c r="H50" s="7">
        <v>6451.2</v>
      </c>
    </row>
    <row r="51" spans="3:9">
      <c r="C51" s="5" t="s">
        <v>75</v>
      </c>
      <c r="D51" s="1" t="s">
        <v>76</v>
      </c>
      <c r="E51" s="1" t="s">
        <v>18</v>
      </c>
      <c r="F51" s="1" t="s">
        <v>8</v>
      </c>
      <c r="G51" s="7">
        <f t="shared" si="0"/>
        <v>6452</v>
      </c>
      <c r="H51" s="7">
        <v>6451.2</v>
      </c>
    </row>
    <row r="52" spans="3:9">
      <c r="C52" s="5">
        <v>6153</v>
      </c>
      <c r="D52" s="1" t="s">
        <v>77</v>
      </c>
      <c r="E52" s="1" t="s">
        <v>7</v>
      </c>
      <c r="F52" s="1" t="s">
        <v>8</v>
      </c>
      <c r="G52" s="7">
        <f t="shared" si="0"/>
        <v>6570</v>
      </c>
      <c r="H52" s="1">
        <v>6570</v>
      </c>
    </row>
    <row r="53" spans="3:9">
      <c r="C53" s="5">
        <v>6108</v>
      </c>
      <c r="D53" s="1" t="s">
        <v>78</v>
      </c>
      <c r="E53" s="1" t="s">
        <v>7</v>
      </c>
      <c r="F53" s="1" t="s">
        <v>8</v>
      </c>
      <c r="G53" s="7">
        <f t="shared" si="0"/>
        <v>5472</v>
      </c>
      <c r="H53" s="1">
        <v>5472</v>
      </c>
    </row>
    <row r="54" spans="3:9">
      <c r="C54" s="14">
        <v>6154</v>
      </c>
      <c r="D54" s="15" t="s">
        <v>79</v>
      </c>
      <c r="E54" s="15" t="s">
        <v>7</v>
      </c>
      <c r="F54" s="15" t="s">
        <v>8</v>
      </c>
      <c r="G54" s="7">
        <f t="shared" si="0"/>
        <v>8900</v>
      </c>
      <c r="H54" s="15">
        <v>8900</v>
      </c>
      <c r="I54" s="13" t="s">
        <v>263</v>
      </c>
    </row>
    <row r="55" spans="3:9">
      <c r="C55" s="5">
        <v>6147</v>
      </c>
      <c r="D55" s="1" t="s">
        <v>80</v>
      </c>
      <c r="E55" s="1" t="s">
        <v>18</v>
      </c>
      <c r="F55" s="1" t="s">
        <v>8</v>
      </c>
      <c r="G55" s="7">
        <f t="shared" si="0"/>
        <v>8640</v>
      </c>
      <c r="H55" s="1">
        <v>8640</v>
      </c>
    </row>
    <row r="56" spans="3:9">
      <c r="C56" s="15"/>
      <c r="D56" s="15" t="s">
        <v>101</v>
      </c>
      <c r="E56" s="15" t="s">
        <v>7</v>
      </c>
      <c r="F56" s="15" t="s">
        <v>8</v>
      </c>
      <c r="G56" s="7">
        <f t="shared" si="0"/>
        <v>15000</v>
      </c>
      <c r="H56" s="15">
        <v>15000</v>
      </c>
      <c r="I56" s="13" t="s">
        <v>262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11"/>
  <sheetViews>
    <sheetView workbookViewId="0">
      <selection activeCell="B4" sqref="B4:J69"/>
    </sheetView>
  </sheetViews>
  <sheetFormatPr baseColWidth="10" defaultRowHeight="14.4"/>
  <cols>
    <col min="3" max="3" width="6.109375" bestFit="1" customWidth="1"/>
    <col min="4" max="4" width="24.44140625" bestFit="1" customWidth="1"/>
    <col min="5" max="5" width="18.5546875" bestFit="1" customWidth="1"/>
    <col min="6" max="6" width="17.44140625" bestFit="1" customWidth="1"/>
    <col min="7" max="7" width="8.33203125" bestFit="1" customWidth="1"/>
    <col min="8" max="8" width="12.33203125" bestFit="1" customWidth="1"/>
  </cols>
  <sheetData>
    <row r="3" spans="3:8">
      <c r="F3" t="s">
        <v>0</v>
      </c>
      <c r="H3" t="s">
        <v>1</v>
      </c>
    </row>
    <row r="4" spans="3:8">
      <c r="C4" s="3" t="s">
        <v>2</v>
      </c>
      <c r="D4" s="3" t="s">
        <v>3</v>
      </c>
      <c r="E4" s="3" t="s">
        <v>4</v>
      </c>
      <c r="F4" s="3" t="s">
        <v>5</v>
      </c>
      <c r="G4" s="3" t="s">
        <v>266</v>
      </c>
      <c r="H4" s="3"/>
    </row>
    <row r="5" spans="3:8">
      <c r="C5" s="5" t="s">
        <v>112</v>
      </c>
      <c r="D5" s="1" t="s">
        <v>113</v>
      </c>
      <c r="E5" s="1" t="s">
        <v>47</v>
      </c>
      <c r="F5" s="1" t="s">
        <v>114</v>
      </c>
      <c r="G5" s="7">
        <f>ROUNDUP(H5,0)</f>
        <v>2800</v>
      </c>
      <c r="H5" s="1">
        <v>2800</v>
      </c>
    </row>
    <row r="6" spans="3:8">
      <c r="C6" s="5" t="s">
        <v>115</v>
      </c>
      <c r="D6" s="1" t="s">
        <v>116</v>
      </c>
      <c r="E6" s="1" t="s">
        <v>47</v>
      </c>
      <c r="F6" s="1" t="s">
        <v>114</v>
      </c>
      <c r="G6" s="7">
        <f t="shared" ref="G6:G11" si="0">ROUNDUP(H6,0)</f>
        <v>2000</v>
      </c>
      <c r="H6" s="1">
        <v>2000</v>
      </c>
    </row>
    <row r="7" spans="3:8">
      <c r="C7" s="5" t="s">
        <v>117</v>
      </c>
      <c r="D7" s="1" t="s">
        <v>118</v>
      </c>
      <c r="E7" s="1" t="s">
        <v>47</v>
      </c>
      <c r="F7" s="1" t="s">
        <v>114</v>
      </c>
      <c r="G7" s="7">
        <f t="shared" si="0"/>
        <v>1700</v>
      </c>
      <c r="H7" s="1">
        <v>1700</v>
      </c>
    </row>
    <row r="8" spans="3:8">
      <c r="C8" s="5" t="s">
        <v>119</v>
      </c>
      <c r="D8" s="1" t="s">
        <v>120</v>
      </c>
      <c r="E8" s="1" t="s">
        <v>7</v>
      </c>
      <c r="F8" s="1" t="s">
        <v>114</v>
      </c>
      <c r="G8" s="7">
        <f t="shared" si="0"/>
        <v>1584</v>
      </c>
      <c r="H8" s="1">
        <v>1584</v>
      </c>
    </row>
    <row r="9" spans="3:8">
      <c r="C9" s="5">
        <v>4131</v>
      </c>
      <c r="D9" s="1" t="s">
        <v>121</v>
      </c>
      <c r="E9" s="1" t="s">
        <v>47</v>
      </c>
      <c r="F9" s="1" t="s">
        <v>114</v>
      </c>
      <c r="G9" s="7">
        <f t="shared" si="0"/>
        <v>1584</v>
      </c>
      <c r="H9" s="1">
        <v>1584</v>
      </c>
    </row>
    <row r="10" spans="3:8">
      <c r="C10" s="5" t="s">
        <v>122</v>
      </c>
      <c r="D10" s="1" t="s">
        <v>123</v>
      </c>
      <c r="E10" s="1" t="s">
        <v>7</v>
      </c>
      <c r="F10" s="1" t="s">
        <v>114</v>
      </c>
      <c r="G10" s="7">
        <f t="shared" si="0"/>
        <v>6700</v>
      </c>
      <c r="H10" s="1">
        <v>6700</v>
      </c>
    </row>
    <row r="11" spans="3:8">
      <c r="C11" s="5" t="s">
        <v>124</v>
      </c>
      <c r="D11" s="1" t="s">
        <v>125</v>
      </c>
      <c r="E11" s="1" t="s">
        <v>7</v>
      </c>
      <c r="F11" s="1" t="s">
        <v>114</v>
      </c>
      <c r="G11" s="7">
        <f t="shared" si="0"/>
        <v>3500</v>
      </c>
      <c r="H11" s="1">
        <v>3500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H37"/>
  <sheetViews>
    <sheetView topLeftCell="A5" workbookViewId="0">
      <selection activeCell="B4" sqref="B4:J69"/>
    </sheetView>
  </sheetViews>
  <sheetFormatPr baseColWidth="10" defaultRowHeight="14.4"/>
  <cols>
    <col min="3" max="3" width="6.109375" bestFit="1" customWidth="1"/>
    <col min="4" max="4" width="26.109375" bestFit="1" customWidth="1"/>
    <col min="5" max="5" width="18.5546875" bestFit="1" customWidth="1"/>
    <col min="6" max="6" width="17.44140625" bestFit="1" customWidth="1"/>
    <col min="7" max="7" width="8.33203125" bestFit="1" customWidth="1"/>
    <col min="8" max="8" width="12.33203125" bestFit="1" customWidth="1"/>
    <col min="9" max="9" width="19.109375" customWidth="1"/>
  </cols>
  <sheetData>
    <row r="3" spans="3:8">
      <c r="F3" t="s">
        <v>0</v>
      </c>
      <c r="H3" t="s">
        <v>1</v>
      </c>
    </row>
    <row r="4" spans="3:8">
      <c r="C4" s="3" t="s">
        <v>2</v>
      </c>
      <c r="D4" s="3" t="s">
        <v>3</v>
      </c>
      <c r="E4" s="3" t="s">
        <v>4</v>
      </c>
      <c r="F4" s="3" t="s">
        <v>5</v>
      </c>
      <c r="G4" s="3" t="s">
        <v>266</v>
      </c>
      <c r="H4" s="3"/>
    </row>
    <row r="5" spans="3:8">
      <c r="C5" s="5" t="s">
        <v>193</v>
      </c>
      <c r="D5" s="1" t="s">
        <v>194</v>
      </c>
      <c r="E5" s="1" t="s">
        <v>47</v>
      </c>
      <c r="F5" s="1" t="s">
        <v>195</v>
      </c>
      <c r="G5" s="7">
        <f>ROUNDUP(H5,0)</f>
        <v>7000</v>
      </c>
      <c r="H5" s="7">
        <v>7000</v>
      </c>
    </row>
    <row r="6" spans="3:8">
      <c r="C6" s="5" t="s">
        <v>196</v>
      </c>
      <c r="D6" s="1" t="s">
        <v>197</v>
      </c>
      <c r="E6" s="1" t="s">
        <v>7</v>
      </c>
      <c r="F6" s="1" t="s">
        <v>195</v>
      </c>
      <c r="G6" s="7">
        <f t="shared" ref="G6:G37" si="0">ROUNDUP(H6,0)</f>
        <v>9200</v>
      </c>
      <c r="H6" s="7">
        <v>9200</v>
      </c>
    </row>
    <row r="7" spans="3:8">
      <c r="C7" s="5" t="s">
        <v>198</v>
      </c>
      <c r="D7" s="1" t="s">
        <v>199</v>
      </c>
      <c r="E7" s="1" t="s">
        <v>7</v>
      </c>
      <c r="F7" s="1" t="s">
        <v>195</v>
      </c>
      <c r="G7" s="7">
        <f t="shared" si="0"/>
        <v>2880</v>
      </c>
      <c r="H7" s="7">
        <v>2880</v>
      </c>
    </row>
    <row r="8" spans="3:8">
      <c r="C8" s="5" t="s">
        <v>200</v>
      </c>
      <c r="D8" s="1" t="s">
        <v>201</v>
      </c>
      <c r="E8" s="1" t="s">
        <v>7</v>
      </c>
      <c r="F8" s="1" t="s">
        <v>195</v>
      </c>
      <c r="G8" s="7">
        <f t="shared" si="0"/>
        <v>6336</v>
      </c>
      <c r="H8" s="7">
        <v>6336</v>
      </c>
    </row>
    <row r="9" spans="3:8">
      <c r="C9" s="5" t="s">
        <v>202</v>
      </c>
      <c r="D9" s="1" t="s">
        <v>203</v>
      </c>
      <c r="E9" s="1" t="s">
        <v>7</v>
      </c>
      <c r="F9" s="1" t="s">
        <v>195</v>
      </c>
      <c r="G9" s="7">
        <f t="shared" si="0"/>
        <v>4896</v>
      </c>
      <c r="H9" s="7">
        <v>4896</v>
      </c>
    </row>
    <row r="10" spans="3:8">
      <c r="C10" s="5" t="s">
        <v>204</v>
      </c>
      <c r="D10" s="1" t="s">
        <v>205</v>
      </c>
      <c r="E10" s="1" t="s">
        <v>7</v>
      </c>
      <c r="F10" s="1" t="s">
        <v>195</v>
      </c>
      <c r="G10" s="7">
        <f t="shared" si="0"/>
        <v>8640</v>
      </c>
      <c r="H10" s="7">
        <v>8640</v>
      </c>
    </row>
    <row r="11" spans="3:8">
      <c r="C11" s="5" t="s">
        <v>206</v>
      </c>
      <c r="D11" s="1" t="s">
        <v>207</v>
      </c>
      <c r="E11" s="1" t="s">
        <v>47</v>
      </c>
      <c r="F11" s="1" t="s">
        <v>195</v>
      </c>
      <c r="G11" s="7">
        <f t="shared" si="0"/>
        <v>3744</v>
      </c>
      <c r="H11" s="7">
        <v>3744</v>
      </c>
    </row>
    <row r="12" spans="3:8">
      <c r="C12" s="5" t="s">
        <v>208</v>
      </c>
      <c r="D12" s="1" t="s">
        <v>209</v>
      </c>
      <c r="E12" s="1" t="s">
        <v>7</v>
      </c>
      <c r="F12" s="1" t="s">
        <v>195</v>
      </c>
      <c r="G12" s="7">
        <f t="shared" si="0"/>
        <v>5040</v>
      </c>
      <c r="H12" s="7">
        <v>5040</v>
      </c>
    </row>
    <row r="13" spans="3:8">
      <c r="C13" s="5" t="s">
        <v>210</v>
      </c>
      <c r="D13" s="1" t="s">
        <v>211</v>
      </c>
      <c r="E13" s="1" t="s">
        <v>47</v>
      </c>
      <c r="F13" s="1" t="s">
        <v>195</v>
      </c>
      <c r="G13" s="7">
        <f t="shared" si="0"/>
        <v>4205</v>
      </c>
      <c r="H13" s="7">
        <v>4204.8</v>
      </c>
    </row>
    <row r="14" spans="3:8">
      <c r="C14" s="5" t="s">
        <v>212</v>
      </c>
      <c r="D14" s="1" t="s">
        <v>213</v>
      </c>
      <c r="E14" s="1" t="s">
        <v>47</v>
      </c>
      <c r="F14" s="1" t="s">
        <v>195</v>
      </c>
      <c r="G14" s="7">
        <f t="shared" si="0"/>
        <v>5760</v>
      </c>
      <c r="H14" s="7">
        <v>5760</v>
      </c>
    </row>
    <row r="15" spans="3:8">
      <c r="C15" s="5" t="s">
        <v>214</v>
      </c>
      <c r="D15" s="1" t="s">
        <v>215</v>
      </c>
      <c r="E15" s="1" t="s">
        <v>18</v>
      </c>
      <c r="F15" s="1" t="s">
        <v>195</v>
      </c>
      <c r="G15" s="7">
        <f t="shared" si="0"/>
        <v>9504</v>
      </c>
      <c r="H15" s="1">
        <v>9504</v>
      </c>
    </row>
    <row r="16" spans="3:8">
      <c r="C16" s="5" t="s">
        <v>216</v>
      </c>
      <c r="D16" s="1" t="s">
        <v>217</v>
      </c>
      <c r="E16" s="1" t="s">
        <v>47</v>
      </c>
      <c r="F16" s="1" t="s">
        <v>195</v>
      </c>
      <c r="G16" s="7">
        <f t="shared" si="0"/>
        <v>4320</v>
      </c>
      <c r="H16" s="1">
        <v>4320</v>
      </c>
    </row>
    <row r="17" spans="3:8">
      <c r="C17" s="5" t="s">
        <v>218</v>
      </c>
      <c r="D17" s="1" t="s">
        <v>219</v>
      </c>
      <c r="E17" s="1" t="s">
        <v>7</v>
      </c>
      <c r="F17" s="1" t="s">
        <v>195</v>
      </c>
      <c r="G17" s="7">
        <f t="shared" si="0"/>
        <v>5700</v>
      </c>
      <c r="H17" s="7">
        <v>5700</v>
      </c>
    </row>
    <row r="18" spans="3:8">
      <c r="C18" s="5" t="s">
        <v>220</v>
      </c>
      <c r="D18" s="1" t="s">
        <v>221</v>
      </c>
      <c r="E18" s="1" t="s">
        <v>47</v>
      </c>
      <c r="F18" s="1" t="s">
        <v>195</v>
      </c>
      <c r="G18" s="7">
        <f t="shared" si="0"/>
        <v>2996</v>
      </c>
      <c r="H18" s="7">
        <v>2995.2</v>
      </c>
    </row>
    <row r="19" spans="3:8">
      <c r="C19" s="5" t="s">
        <v>222</v>
      </c>
      <c r="D19" s="1" t="s">
        <v>223</v>
      </c>
      <c r="E19" s="1" t="s">
        <v>47</v>
      </c>
      <c r="F19" s="1" t="s">
        <v>195</v>
      </c>
      <c r="G19" s="7">
        <f t="shared" si="0"/>
        <v>2500</v>
      </c>
      <c r="H19" s="7">
        <v>2500</v>
      </c>
    </row>
    <row r="20" spans="3:8">
      <c r="C20" s="5" t="s">
        <v>224</v>
      </c>
      <c r="D20" s="1" t="s">
        <v>225</v>
      </c>
      <c r="E20" s="1" t="s">
        <v>47</v>
      </c>
      <c r="F20" s="1" t="s">
        <v>195</v>
      </c>
      <c r="G20" s="7">
        <f t="shared" si="0"/>
        <v>5400</v>
      </c>
      <c r="H20" s="7">
        <v>5400</v>
      </c>
    </row>
    <row r="21" spans="3:8">
      <c r="C21" s="5" t="s">
        <v>226</v>
      </c>
      <c r="D21" s="1" t="s">
        <v>227</v>
      </c>
      <c r="E21" s="1" t="s">
        <v>47</v>
      </c>
      <c r="F21" s="1" t="s">
        <v>195</v>
      </c>
      <c r="G21" s="7">
        <f t="shared" si="0"/>
        <v>2300</v>
      </c>
      <c r="H21" s="7">
        <v>2300</v>
      </c>
    </row>
    <row r="22" spans="3:8">
      <c r="C22" s="5" t="s">
        <v>228</v>
      </c>
      <c r="D22" s="1" t="s">
        <v>229</v>
      </c>
      <c r="E22" s="1" t="s">
        <v>47</v>
      </c>
      <c r="F22" s="1" t="s">
        <v>195</v>
      </c>
      <c r="G22" s="7">
        <f t="shared" si="0"/>
        <v>4680</v>
      </c>
      <c r="H22" s="1">
        <v>4680</v>
      </c>
    </row>
    <row r="23" spans="3:8">
      <c r="C23" s="5" t="s">
        <v>230</v>
      </c>
      <c r="D23" s="1" t="s">
        <v>231</v>
      </c>
      <c r="E23" s="1" t="s">
        <v>47</v>
      </c>
      <c r="F23" s="1" t="s">
        <v>195</v>
      </c>
      <c r="G23" s="7">
        <f t="shared" si="0"/>
        <v>3000</v>
      </c>
      <c r="H23" s="1">
        <v>3000</v>
      </c>
    </row>
    <row r="24" spans="3:8">
      <c r="C24" s="5" t="s">
        <v>232</v>
      </c>
      <c r="D24" s="19" t="s">
        <v>233</v>
      </c>
      <c r="E24" s="1" t="s">
        <v>47</v>
      </c>
      <c r="F24" s="1" t="s">
        <v>195</v>
      </c>
      <c r="G24" s="7">
        <f t="shared" si="0"/>
        <v>4400</v>
      </c>
      <c r="H24" s="1">
        <v>4400</v>
      </c>
    </row>
    <row r="25" spans="3:8">
      <c r="C25" s="5" t="s">
        <v>234</v>
      </c>
      <c r="D25" s="19" t="s">
        <v>235</v>
      </c>
      <c r="E25" s="1" t="s">
        <v>47</v>
      </c>
      <c r="F25" s="1" t="s">
        <v>195</v>
      </c>
      <c r="G25" s="7">
        <f t="shared" si="0"/>
        <v>5200</v>
      </c>
      <c r="H25" s="1">
        <v>5200</v>
      </c>
    </row>
    <row r="26" spans="3:8">
      <c r="C26" s="5" t="s">
        <v>236</v>
      </c>
      <c r="D26" s="1" t="s">
        <v>237</v>
      </c>
      <c r="E26" s="1" t="s">
        <v>47</v>
      </c>
      <c r="F26" s="1" t="s">
        <v>195</v>
      </c>
      <c r="G26" s="7">
        <f t="shared" si="0"/>
        <v>3000</v>
      </c>
      <c r="H26" s="1">
        <v>3000</v>
      </c>
    </row>
    <row r="27" spans="3:8">
      <c r="C27" s="5">
        <v>5253</v>
      </c>
      <c r="D27" s="1" t="s">
        <v>238</v>
      </c>
      <c r="E27" s="1" t="s">
        <v>7</v>
      </c>
      <c r="F27" s="1" t="s">
        <v>195</v>
      </c>
      <c r="G27" s="7">
        <f t="shared" si="0"/>
        <v>6696</v>
      </c>
      <c r="H27" s="1">
        <v>6696</v>
      </c>
    </row>
    <row r="28" spans="3:8">
      <c r="C28" s="5">
        <v>5500</v>
      </c>
      <c r="D28" s="1" t="s">
        <v>239</v>
      </c>
      <c r="E28" s="1" t="s">
        <v>7</v>
      </c>
      <c r="F28" s="1" t="s">
        <v>195</v>
      </c>
      <c r="G28" s="7">
        <f t="shared" si="0"/>
        <v>7344</v>
      </c>
      <c r="H28" s="1">
        <v>7344</v>
      </c>
    </row>
    <row r="29" spans="3:8">
      <c r="C29" s="5" t="s">
        <v>240</v>
      </c>
      <c r="D29" s="1" t="s">
        <v>241</v>
      </c>
      <c r="E29" s="1" t="s">
        <v>7</v>
      </c>
      <c r="F29" s="1" t="s">
        <v>195</v>
      </c>
      <c r="G29" s="7">
        <f t="shared" si="0"/>
        <v>8064</v>
      </c>
      <c r="H29" s="1">
        <v>8064</v>
      </c>
    </row>
    <row r="30" spans="3:8">
      <c r="C30" s="5">
        <v>5499</v>
      </c>
      <c r="D30" s="1" t="s">
        <v>242</v>
      </c>
      <c r="E30" s="1" t="s">
        <v>18</v>
      </c>
      <c r="F30" s="1" t="s">
        <v>195</v>
      </c>
      <c r="G30" s="7">
        <f t="shared" si="0"/>
        <v>9200</v>
      </c>
      <c r="H30" s="1">
        <v>9200</v>
      </c>
    </row>
    <row r="31" spans="3:8">
      <c r="C31" s="5">
        <v>4707</v>
      </c>
      <c r="D31" s="1" t="s">
        <v>243</v>
      </c>
      <c r="E31" s="1" t="s">
        <v>7</v>
      </c>
      <c r="F31" s="1" t="s">
        <v>195</v>
      </c>
      <c r="G31" s="7">
        <f t="shared" si="0"/>
        <v>8000</v>
      </c>
      <c r="H31" s="1">
        <v>8000</v>
      </c>
    </row>
    <row r="32" spans="3:8">
      <c r="C32" s="5" t="s">
        <v>244</v>
      </c>
      <c r="D32" s="19" t="s">
        <v>245</v>
      </c>
      <c r="E32" s="1" t="s">
        <v>7</v>
      </c>
      <c r="F32" s="1" t="s">
        <v>195</v>
      </c>
      <c r="G32" s="7">
        <f t="shared" si="0"/>
        <v>4896</v>
      </c>
      <c r="H32" s="1">
        <v>4896</v>
      </c>
    </row>
    <row r="33" spans="3:8">
      <c r="C33" s="5" t="s">
        <v>246</v>
      </c>
      <c r="D33" s="1" t="s">
        <v>247</v>
      </c>
      <c r="E33" s="1" t="s">
        <v>7</v>
      </c>
      <c r="F33" s="1" t="s">
        <v>195</v>
      </c>
      <c r="G33" s="7">
        <f t="shared" si="0"/>
        <v>4300</v>
      </c>
      <c r="H33" s="1">
        <v>4300</v>
      </c>
    </row>
    <row r="34" spans="3:8">
      <c r="C34" s="5" t="s">
        <v>248</v>
      </c>
      <c r="D34" s="1" t="s">
        <v>249</v>
      </c>
      <c r="E34" s="1" t="s">
        <v>7</v>
      </c>
      <c r="F34" s="1" t="s">
        <v>195</v>
      </c>
      <c r="G34" s="7">
        <f t="shared" si="0"/>
        <v>10000</v>
      </c>
      <c r="H34" s="1">
        <v>10000</v>
      </c>
    </row>
    <row r="35" spans="3:8">
      <c r="C35" s="5" t="s">
        <v>250</v>
      </c>
      <c r="D35" s="1" t="s">
        <v>251</v>
      </c>
      <c r="E35" s="1" t="s">
        <v>7</v>
      </c>
      <c r="F35" s="1" t="s">
        <v>195</v>
      </c>
      <c r="G35" s="7">
        <f t="shared" si="0"/>
        <v>10000</v>
      </c>
      <c r="H35" s="1">
        <v>10000</v>
      </c>
    </row>
    <row r="36" spans="3:8">
      <c r="C36" s="5" t="s">
        <v>252</v>
      </c>
      <c r="D36" s="1" t="s">
        <v>253</v>
      </c>
      <c r="E36" s="1" t="s">
        <v>7</v>
      </c>
      <c r="F36" s="1" t="s">
        <v>195</v>
      </c>
      <c r="G36" s="7">
        <f t="shared" si="0"/>
        <v>10800</v>
      </c>
      <c r="H36" s="1">
        <v>10800</v>
      </c>
    </row>
    <row r="37" spans="3:8">
      <c r="C37" s="5" t="s">
        <v>254</v>
      </c>
      <c r="D37" s="1" t="s">
        <v>255</v>
      </c>
      <c r="E37" s="1" t="s">
        <v>7</v>
      </c>
      <c r="F37" s="1" t="s">
        <v>195</v>
      </c>
      <c r="G37" s="7">
        <f t="shared" si="0"/>
        <v>6600</v>
      </c>
      <c r="H37" s="1">
        <v>6600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H9"/>
  <sheetViews>
    <sheetView workbookViewId="0">
      <selection activeCell="B4" sqref="B4:J69"/>
    </sheetView>
  </sheetViews>
  <sheetFormatPr baseColWidth="10" defaultRowHeight="14.4"/>
  <cols>
    <col min="3" max="3" width="6.109375" bestFit="1" customWidth="1"/>
    <col min="4" max="4" width="12.21875" bestFit="1" customWidth="1"/>
    <col min="5" max="5" width="18.5546875" bestFit="1" customWidth="1"/>
    <col min="6" max="6" width="17.44140625" bestFit="1" customWidth="1"/>
    <col min="7" max="7" width="8.33203125" bestFit="1" customWidth="1"/>
    <col min="8" max="8" width="12.33203125" bestFit="1" customWidth="1"/>
  </cols>
  <sheetData>
    <row r="3" spans="3:8">
      <c r="F3" t="s">
        <v>0</v>
      </c>
      <c r="H3" t="s">
        <v>1</v>
      </c>
    </row>
    <row r="4" spans="3:8">
      <c r="C4" s="3" t="s">
        <v>2</v>
      </c>
      <c r="D4" s="3" t="s">
        <v>3</v>
      </c>
      <c r="E4" s="3" t="s">
        <v>4</v>
      </c>
      <c r="F4" s="3" t="s">
        <v>5</v>
      </c>
      <c r="G4" s="3" t="s">
        <v>266</v>
      </c>
      <c r="H4" s="3"/>
    </row>
    <row r="5" spans="3:8">
      <c r="C5" s="5" t="s">
        <v>102</v>
      </c>
      <c r="D5" s="1" t="s">
        <v>103</v>
      </c>
      <c r="E5" s="1" t="s">
        <v>7</v>
      </c>
      <c r="F5" s="1" t="s">
        <v>104</v>
      </c>
      <c r="G5" s="7">
        <f>ROUNDUP(H5,0)</f>
        <v>4300</v>
      </c>
      <c r="H5" s="1">
        <v>4300</v>
      </c>
    </row>
    <row r="6" spans="3:8">
      <c r="C6" s="5" t="s">
        <v>105</v>
      </c>
      <c r="D6" s="1" t="s">
        <v>106</v>
      </c>
      <c r="E6" s="1" t="s">
        <v>7</v>
      </c>
      <c r="F6" s="1" t="s">
        <v>104</v>
      </c>
      <c r="G6" s="7">
        <f t="shared" ref="G6:G9" si="0">ROUNDUP(H6,0)</f>
        <v>7600</v>
      </c>
      <c r="H6" s="1">
        <v>7600</v>
      </c>
    </row>
    <row r="7" spans="3:8">
      <c r="C7" s="5" t="s">
        <v>107</v>
      </c>
      <c r="D7" s="1" t="s">
        <v>108</v>
      </c>
      <c r="E7" s="1" t="s">
        <v>7</v>
      </c>
      <c r="F7" s="1" t="s">
        <v>104</v>
      </c>
      <c r="G7" s="7">
        <f t="shared" si="0"/>
        <v>9200</v>
      </c>
      <c r="H7" s="1">
        <v>9200</v>
      </c>
    </row>
    <row r="8" spans="3:8">
      <c r="C8" s="5" t="s">
        <v>109</v>
      </c>
      <c r="D8" s="1" t="s">
        <v>110</v>
      </c>
      <c r="E8" s="1" t="s">
        <v>7</v>
      </c>
      <c r="F8" s="1" t="s">
        <v>104</v>
      </c>
      <c r="G8" s="7">
        <f t="shared" si="0"/>
        <v>7200</v>
      </c>
      <c r="H8" s="1">
        <v>7200</v>
      </c>
    </row>
    <row r="9" spans="3:8">
      <c r="C9" s="5">
        <v>4029</v>
      </c>
      <c r="D9" s="1" t="s">
        <v>111</v>
      </c>
      <c r="E9" s="1" t="s">
        <v>7</v>
      </c>
      <c r="F9" s="1" t="s">
        <v>104</v>
      </c>
      <c r="G9" s="7">
        <f t="shared" si="0"/>
        <v>5500</v>
      </c>
      <c r="H9" s="1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</vt:lpstr>
      <vt:lpstr>tiendas</vt:lpstr>
      <vt:lpstr>GSM-15467 OK</vt:lpstr>
      <vt:lpstr>estándar </vt:lpstr>
      <vt:lpstr>Ahorramás</vt:lpstr>
      <vt:lpstr>Galicia</vt:lpstr>
      <vt:lpstr>Catalán</vt:lpstr>
      <vt:lpstr>Euskera</vt:lpstr>
    </vt:vector>
  </TitlesOfParts>
  <Company>Centros Comerciales Carrefour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B4876626</dc:creator>
  <cp:lastModifiedBy>Office</cp:lastModifiedBy>
  <dcterms:created xsi:type="dcterms:W3CDTF">2025-10-16T06:42:56Z</dcterms:created>
  <dcterms:modified xsi:type="dcterms:W3CDTF">2026-06-19T17:28:49Z</dcterms:modified>
</cp:coreProperties>
</file>